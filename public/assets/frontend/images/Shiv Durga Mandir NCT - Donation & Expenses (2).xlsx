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Detail1" sheetId="2" r:id="rId5"/>
    <sheet state="visible" name="Expense Statement" sheetId="3" r:id="rId6"/>
    <sheet state="visible" name="Donation" sheetId="4" r:id="rId7"/>
    <sheet state="visible" name="Monthly Sheet" sheetId="5" r:id="rId8"/>
    <sheet state="visible" name="Murti Collection" sheetId="6" r:id="rId9"/>
    <sheet state="visible" name="janamashtami Expenses" sheetId="7" r:id="rId10"/>
  </sheets>
  <definedNames>
    <definedName hidden="1" localSheetId="2" name="_xlnm._FilterDatabase">'Expense Statement'!$A$1:$F$246</definedName>
  </definedNames>
  <calcPr/>
  <pivotCaches>
    <pivotCache cacheId="0" r:id="rId11"/>
  </pivotCaches>
  <extLst>
    <ext uri="GoogleSheetsCustomDataVersion2">
      <go:sheetsCustomData xmlns:go="http://customooxmlschemas.google.com/" r:id="rId12" roundtripDataChecksum="fEqm9H1xPj2HI7NxttnKzdrD7oz2/gd7xs2JOF0mRJ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34">
      <text>
        <t xml:space="preserve">======
ID#AAAB4Di_rng
    (2026-04-25 19:52:35)
10k - 2 Oct
11400- 4 Oct</t>
      </text>
    </comment>
    <comment authorId="0" ref="F130">
      <text>
        <t xml:space="preserve">======
ID#AAAB4Di_rnc
    (2026-04-25 19:52:35)
Advance - 700</t>
      </text>
    </comment>
  </commentList>
  <extLst>
    <ext uri="GoogleSheetsCustomDataVersion2">
      <go:sheetsCustomData xmlns:go="http://customooxmlschemas.google.com/" r:id="rId1" roundtripDataSignature="AMtx7mj+Guluk5+u2Ny5pTS/dNmkDGPDI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429">
      <text>
        <t xml:space="preserve">======
ID#AAAB4Di_rnk
    (2026-04-25 19:52:35)
500+500+500+200+100</t>
      </text>
    </comment>
  </commentList>
  <extLst>
    <ext uri="GoogleSheetsCustomDataVersion2">
      <go:sheetsCustomData xmlns:go="http://customooxmlschemas.google.com/" r:id="rId1" roundtripDataSignature="AMtx7mhqJZJWIAidlf/Ta29niD8Czk56Pw=="/>
    </ext>
  </extLst>
</comments>
</file>

<file path=xl/sharedStrings.xml><?xml version="1.0" encoding="utf-8"?>
<sst xmlns="http://schemas.openxmlformats.org/spreadsheetml/2006/main" count="6855" uniqueCount="2138">
  <si>
    <t>Total Collection (Construction)</t>
  </si>
  <si>
    <t>Voucher Number</t>
  </si>
  <si>
    <t>Date</t>
  </si>
  <si>
    <t>Particular</t>
  </si>
  <si>
    <t>Sr.No</t>
  </si>
  <si>
    <t>Category</t>
  </si>
  <si>
    <t>Bill Date</t>
  </si>
  <si>
    <t>Amount</t>
  </si>
  <si>
    <t>Contractor Harmeet</t>
  </si>
  <si>
    <t>Construction</t>
  </si>
  <si>
    <t>Donor Name</t>
  </si>
  <si>
    <t>Phone Number</t>
  </si>
  <si>
    <t>Flat No.</t>
  </si>
  <si>
    <t xml:space="preserve">Mode </t>
  </si>
  <si>
    <t>God Idol:Shivling,Nandiji,Jaleri</t>
  </si>
  <si>
    <t>Reference No.</t>
  </si>
  <si>
    <t>Idols</t>
  </si>
  <si>
    <t>Book/Receipt No</t>
  </si>
  <si>
    <t>Sum of Amount</t>
  </si>
  <si>
    <t>Against Material</t>
  </si>
  <si>
    <t>Expenses</t>
  </si>
  <si>
    <t>Donation Amount With</t>
  </si>
  <si>
    <t>Labour food(Harmeet)</t>
  </si>
  <si>
    <t>Amount Given To Treasurer</t>
  </si>
  <si>
    <t>Collection By</t>
  </si>
  <si>
    <t>Remarks</t>
  </si>
  <si>
    <t>Security Guard on sthapana</t>
  </si>
  <si>
    <t>Event</t>
  </si>
  <si>
    <t>Feb</t>
  </si>
  <si>
    <t>Panditji Dakshina for sthapana</t>
  </si>
  <si>
    <t>Carpenter</t>
  </si>
  <si>
    <t>March</t>
  </si>
  <si>
    <t>Pooja Ka Saman for sthapana</t>
  </si>
  <si>
    <t>April</t>
  </si>
  <si>
    <t>Rajesh Nanda Ji</t>
  </si>
  <si>
    <t>Dakshina</t>
  </si>
  <si>
    <t>A1-PH3</t>
  </si>
  <si>
    <t>May</t>
  </si>
  <si>
    <t>Labour(Harmeet) for sthapana</t>
  </si>
  <si>
    <t>Cash</t>
  </si>
  <si>
    <t>June</t>
  </si>
  <si>
    <t>Flower Petal for sthpana</t>
  </si>
  <si>
    <t>July</t>
  </si>
  <si>
    <t>Ops</t>
  </si>
  <si>
    <t>Fruit for sthapana &amp; Prasad</t>
  </si>
  <si>
    <t>Akhilesh</t>
  </si>
  <si>
    <t>Pran Pratishtha</t>
  </si>
  <si>
    <t>Yes</t>
  </si>
  <si>
    <t>Speaker</t>
  </si>
  <si>
    <t xml:space="preserve">Rajesh Nanda </t>
  </si>
  <si>
    <t>God Idol:Nag Devta,Ghanti,Jhanda</t>
  </si>
  <si>
    <t>Tent</t>
  </si>
  <si>
    <t>Total In Hand</t>
  </si>
  <si>
    <t>Water Bottles on Sthapana</t>
  </si>
  <si>
    <t>Mayank Aggarwal</t>
  </si>
  <si>
    <t>Contractor Harmeet (Payment to Kushal Garg (1000 Bricks)</t>
  </si>
  <si>
    <t>B15 GF03</t>
  </si>
  <si>
    <t>Grand Total</t>
  </si>
  <si>
    <t>Contractor Harmeet (Payment to Kushal Garg (2000 Bricks)</t>
  </si>
  <si>
    <t>Contractor Harmeet (Cash)</t>
  </si>
  <si>
    <t>Receipt Book (2) Carbon (2)</t>
  </si>
  <si>
    <t>Akhilesh Mahajan</t>
  </si>
  <si>
    <t>B1/404</t>
  </si>
  <si>
    <t>Contractor Harmeet (Payment to kushal Garg (11 bags Cement))</t>
  </si>
  <si>
    <t>Receipt Book(4) &amp; Voucher book(1)</t>
  </si>
  <si>
    <t>Door mat for mandir</t>
  </si>
  <si>
    <t>Meenakshi Aggarwal</t>
  </si>
  <si>
    <t>C3-GF02</t>
  </si>
  <si>
    <t>Contractor Harmeet (UPI by Mayank)</t>
  </si>
  <si>
    <t>Receipt Book(5) &amp; carbon(3)</t>
  </si>
  <si>
    <t>Gaurav Mahajan</t>
  </si>
  <si>
    <t>B9/304</t>
  </si>
  <si>
    <t>Contractor Harmeet (Cash By Akhilesh)</t>
  </si>
  <si>
    <t>Amit Vats</t>
  </si>
  <si>
    <t>C2/106</t>
  </si>
  <si>
    <t>Feburary 2026</t>
  </si>
  <si>
    <t>Contractor Harmeet (Payment to kushal Garg (5 bags Cement))</t>
  </si>
  <si>
    <t>Navin Garg</t>
  </si>
  <si>
    <t>B9/GF02</t>
  </si>
  <si>
    <t>Krishna Traders (Plastic Boxes -02)</t>
  </si>
  <si>
    <t>Contractor Harmeet (Cash By Akhilesh/Mayank)</t>
  </si>
  <si>
    <t>Partap Shopping center (Daily pooja Samagri)</t>
  </si>
  <si>
    <t>Padam Jain</t>
  </si>
  <si>
    <t>B14/ 403</t>
  </si>
  <si>
    <t>Electrical Billl(Bulbs &amp; Wiring)</t>
  </si>
  <si>
    <t>Disposal for Mandir Daily Use</t>
  </si>
  <si>
    <t>Water Supply of Mandir Flat (Store)</t>
  </si>
  <si>
    <t>Donar Name</t>
  </si>
  <si>
    <t xml:space="preserve">labour Bakshish on Lenter given by Akhilesh </t>
  </si>
  <si>
    <t>Phone</t>
  </si>
  <si>
    <t>Anil Tandon</t>
  </si>
  <si>
    <t>Address</t>
  </si>
  <si>
    <t>Status</t>
  </si>
  <si>
    <t>Contractor Harmeet( Cash for Mixer)</t>
  </si>
  <si>
    <t xml:space="preserve">Payment Date </t>
  </si>
  <si>
    <t>Recipt No</t>
  </si>
  <si>
    <t>Mode</t>
  </si>
  <si>
    <t>Mithelesh painter, who painted the flat D1 GF03 Piad by Nanda Ji</t>
  </si>
  <si>
    <t xml:space="preserve">Dholki wala by payment Mayank &amp; Akhilesh </t>
  </si>
  <si>
    <t>Dholki wala payment by Akhilesh</t>
  </si>
  <si>
    <t>Aman Sharma</t>
  </si>
  <si>
    <t>B13/504</t>
  </si>
  <si>
    <t>Dholki wala payment by Amit vats</t>
  </si>
  <si>
    <t>Contractor Harmeet (Payment to Raju for Letner Opening)</t>
  </si>
  <si>
    <t>Receipt No</t>
  </si>
  <si>
    <t>Chatai (3 Mats)</t>
  </si>
  <si>
    <t>Pranay Srivastava</t>
  </si>
  <si>
    <t>B12/501</t>
  </si>
  <si>
    <t>Green Net for covering</t>
  </si>
  <si>
    <t>Plumber material for Flat (Store) Paid by Nanda Ji</t>
  </si>
  <si>
    <t>Saurabh Jain</t>
  </si>
  <si>
    <t>Noida</t>
  </si>
  <si>
    <t>Hanuman Ji Photo Payment by Amit Vats</t>
  </si>
  <si>
    <t>Steel Drain Jaali, Stone jointer, Chain/Hook &amp; Cast Iron jali payment to Pranay</t>
  </si>
  <si>
    <t>Mr.Gandhi</t>
  </si>
  <si>
    <t>Elbow(2) &amp; Socket(2) Payment to Jindal Interiors by Gaurav Ji</t>
  </si>
  <si>
    <t>A5</t>
  </si>
  <si>
    <t>UPI</t>
  </si>
  <si>
    <t>1/13</t>
  </si>
  <si>
    <t>Tray(1), Container (3), Platic Tubs(2) to Nanda Ji</t>
  </si>
  <si>
    <t>1000 Bricks</t>
  </si>
  <si>
    <t>Walk-In</t>
  </si>
  <si>
    <t>Wiper (2) Payment to Nanda Ji</t>
  </si>
  <si>
    <t>Flex Printing(2) payment to Nanda ji</t>
  </si>
  <si>
    <t>Sh. Satish Kumar Nanda</t>
  </si>
  <si>
    <t>Ambala</t>
  </si>
  <si>
    <t>Payment to mayank for saman(vijay Sharma)</t>
  </si>
  <si>
    <t>1/14</t>
  </si>
  <si>
    <t>2000 Bricks</t>
  </si>
  <si>
    <t>Nanda Ji</t>
  </si>
  <si>
    <t>Sundarkand (10), Chunni (2) payment to Mayank</t>
  </si>
  <si>
    <t>Rajesh Nanda</t>
  </si>
  <si>
    <t>Nanda Ji's Father</t>
  </si>
  <si>
    <t>Committee</t>
  </si>
  <si>
    <t>2 Folding Bed payment to Mayank</t>
  </si>
  <si>
    <t>Paid</t>
  </si>
  <si>
    <t>Kapil Sharma</t>
  </si>
  <si>
    <t>SDM/1001</t>
  </si>
  <si>
    <t>Stool (12)</t>
  </si>
  <si>
    <t>B12/204</t>
  </si>
  <si>
    <t>1/15</t>
  </si>
  <si>
    <t xml:space="preserve">2 Permanent Marker </t>
  </si>
  <si>
    <t>SDM/1026</t>
  </si>
  <si>
    <t>Tea Advance</t>
  </si>
  <si>
    <t>Board &amp; Lock (1 each)</t>
  </si>
  <si>
    <t>Gupt Daan</t>
  </si>
  <si>
    <t>Bathroom Fittings - Store</t>
  </si>
  <si>
    <t>1/16</t>
  </si>
  <si>
    <t>Electrical material for Store(Extension Board)</t>
  </si>
  <si>
    <t>Electrical material for Store</t>
  </si>
  <si>
    <t>Renu Sharma</t>
  </si>
  <si>
    <t>Ansh Phool Wala (26/6/2025 to 31/7/2025) payment done</t>
  </si>
  <si>
    <t>Silve City</t>
  </si>
  <si>
    <t>No Bill</t>
  </si>
  <si>
    <t>B15/GF03</t>
  </si>
  <si>
    <t>1/17</t>
  </si>
  <si>
    <t>Musical Instrument for mandir</t>
  </si>
  <si>
    <t>SDM/1002</t>
  </si>
  <si>
    <t>Bajaj Aunty</t>
  </si>
  <si>
    <t>Glass Fitting (Flat) + Safai Payment</t>
  </si>
  <si>
    <t>Dariya (5)</t>
  </si>
  <si>
    <t>Ankur Gupta</t>
  </si>
  <si>
    <t>Chennai</t>
  </si>
  <si>
    <t>Recipt Books (6)</t>
  </si>
  <si>
    <t>1/18</t>
  </si>
  <si>
    <t>Tables (2)</t>
  </si>
  <si>
    <t>Akhilesh's Jija Ji</t>
  </si>
  <si>
    <t>Payment to Harmeet Contractor</t>
  </si>
  <si>
    <t>Bedsheet (3)</t>
  </si>
  <si>
    <t>Aanchal</t>
  </si>
  <si>
    <t>1/19</t>
  </si>
  <si>
    <t>Team Rajni/Sakshi</t>
  </si>
  <si>
    <t>Washroom Cleaner + Tea,+ Lassi +Notepad</t>
  </si>
  <si>
    <t>B15/301</t>
  </si>
  <si>
    <t>Pranay</t>
  </si>
  <si>
    <t>SDM/1003</t>
  </si>
  <si>
    <t>Garbage Bag</t>
  </si>
  <si>
    <t>SDM/1033</t>
  </si>
  <si>
    <t>Iron Pipes For Shikar</t>
  </si>
  <si>
    <t>Mr.S.K Sharma</t>
  </si>
  <si>
    <t>SDM/1044</t>
  </si>
  <si>
    <t>B12/402</t>
  </si>
  <si>
    <t>Payment to Dholki Wala</t>
  </si>
  <si>
    <t>1/20</t>
  </si>
  <si>
    <t xml:space="preserve">Payment to Kudewala for Jal parwah </t>
  </si>
  <si>
    <t>Neelu Soi</t>
  </si>
  <si>
    <t>900 Mistri Packets From Meenakshi Chaturvedi + Labour Food</t>
  </si>
  <si>
    <t>C3/410</t>
  </si>
  <si>
    <t>Neeti Sharma</t>
  </si>
  <si>
    <t>Mishri Prasad ( 3000 Packets) directly from Neeraj Kashyap</t>
  </si>
  <si>
    <t>1/21</t>
  </si>
  <si>
    <t>Steel Jhula for Janamashtami</t>
  </si>
  <si>
    <t>SDM/1004</t>
  </si>
  <si>
    <t>SDM/1031</t>
  </si>
  <si>
    <t>Payment to Shiv Shakti, Manimajra for Mandir Top Kalash (2)</t>
  </si>
  <si>
    <t>SDM/1042</t>
  </si>
  <si>
    <t>1/22</t>
  </si>
  <si>
    <t>Payment for Bucket, Mug for Flat</t>
  </si>
  <si>
    <t>Komal</t>
  </si>
  <si>
    <t>Piegon Net for Windows</t>
  </si>
  <si>
    <t>Silver City</t>
  </si>
  <si>
    <t>1/23</t>
  </si>
  <si>
    <t>Ruchi Gupta</t>
  </si>
  <si>
    <t>B14/101</t>
  </si>
  <si>
    <t>SDM/1005</t>
  </si>
  <si>
    <t>Aradite</t>
  </si>
  <si>
    <t>SDM/1032</t>
  </si>
  <si>
    <t>Attar Grewal(Rupi)</t>
  </si>
  <si>
    <t>D3 GF4</t>
  </si>
  <si>
    <t>SDM/1043</t>
  </si>
  <si>
    <t>1/24</t>
  </si>
  <si>
    <t>Janamashtami - Ballon, Fruits, Disposals, Mandir MCB</t>
  </si>
  <si>
    <t>Flower Decoration - Ansh</t>
  </si>
  <si>
    <t>Raju Chowdhury</t>
  </si>
  <si>
    <t>Prashad Container (200)</t>
  </si>
  <si>
    <t>1/25</t>
  </si>
  <si>
    <t>56 Bhog Thal</t>
  </si>
  <si>
    <t>Vipin Puri</t>
  </si>
  <si>
    <t>10 Crates of Water - Pranay</t>
  </si>
  <si>
    <t>B9/102</t>
  </si>
  <si>
    <t>10 Crates of Water - akhilesh</t>
  </si>
  <si>
    <t>SDM/1006</t>
  </si>
  <si>
    <t>Lights Decoration (6 Pieces)</t>
  </si>
  <si>
    <t>SDM/1039</t>
  </si>
  <si>
    <t>1/26</t>
  </si>
  <si>
    <t>SDM/1051</t>
  </si>
  <si>
    <t>Dhol Wala on janamashtami</t>
  </si>
  <si>
    <t>Acrylic colors Big Box for Shivling</t>
  </si>
  <si>
    <t>Gurmeet Ji</t>
  </si>
  <si>
    <t>C4/402</t>
  </si>
  <si>
    <t>Mathura Peda Prashad for 15th Pooja</t>
  </si>
  <si>
    <t>1/27</t>
  </si>
  <si>
    <t>2/13</t>
  </si>
  <si>
    <t>Cells, Hit &amp; Brush</t>
  </si>
  <si>
    <t>2/14</t>
  </si>
  <si>
    <t>Carry bags (200) For prashad</t>
  </si>
  <si>
    <t>A1/PH03</t>
  </si>
  <si>
    <t>2/15</t>
  </si>
  <si>
    <t>Sh. Sudarshan Kumar</t>
  </si>
  <si>
    <t>Voucher Book(2)</t>
  </si>
  <si>
    <t>SDM/1007</t>
  </si>
  <si>
    <t>B12/401</t>
  </si>
  <si>
    <t>2/16</t>
  </si>
  <si>
    <t>1/28</t>
  </si>
  <si>
    <t>Dakshina to Shastri ji (Janamashtami - Thali + Daan Patra : 50%)</t>
  </si>
  <si>
    <t>2/17</t>
  </si>
  <si>
    <t>Naag Devta for Mandir</t>
  </si>
  <si>
    <t>2/18</t>
  </si>
  <si>
    <t>Chandan &amp; Honey for Mandir</t>
  </si>
  <si>
    <t>Avinash Jaithely</t>
  </si>
  <si>
    <t>2/19</t>
  </si>
  <si>
    <t>B12/604</t>
  </si>
  <si>
    <t>Payment for Tent on Janamashtami</t>
  </si>
  <si>
    <t>1/29</t>
  </si>
  <si>
    <t>2/20</t>
  </si>
  <si>
    <t>Rishi pathar wala payment</t>
  </si>
  <si>
    <t>2/21</t>
  </si>
  <si>
    <t>Love Catering ( Bhandara Payment - Janamashatami)</t>
  </si>
  <si>
    <t>SDM/1008</t>
  </si>
  <si>
    <t>2/22</t>
  </si>
  <si>
    <t>Preeti Katiyar</t>
  </si>
  <si>
    <t>Chokhat Payment Ti Mani Pal Goyal By Amit Katiyar</t>
  </si>
  <si>
    <t>B-7/301</t>
  </si>
  <si>
    <t>2/23</t>
  </si>
  <si>
    <t>1/30</t>
  </si>
  <si>
    <t>Payment for chemical 50 bags, 390 per bag</t>
  </si>
  <si>
    <t>2/23-1</t>
  </si>
  <si>
    <t>Advance payments for Rack</t>
  </si>
  <si>
    <t>2/24</t>
  </si>
  <si>
    <t>Surinder Mahajan</t>
  </si>
  <si>
    <t>Amritsar</t>
  </si>
  <si>
    <t>2/25</t>
  </si>
  <si>
    <t>20 Cemet Bags - Payment to rishi</t>
  </si>
  <si>
    <t>1/31</t>
  </si>
  <si>
    <t>2/26</t>
  </si>
  <si>
    <t>Gaurav Mahajan's Parents</t>
  </si>
  <si>
    <t>2/27</t>
  </si>
  <si>
    <t>Payment to Rishi for Plaster Work &amp; Tile Work Tilll2 Sep 2025</t>
  </si>
  <si>
    <t>SDM/1009</t>
  </si>
  <si>
    <t>2/28</t>
  </si>
  <si>
    <t>Ashwani Mahajan</t>
  </si>
  <si>
    <t>Payment for Dholwala (700) &amp; Jagannath (200) on Chati Event</t>
  </si>
  <si>
    <t>SDM/1041</t>
  </si>
  <si>
    <t>2/29</t>
  </si>
  <si>
    <t>1/32</t>
  </si>
  <si>
    <t>Racks Pending Payment (5650) + Carriage(400)</t>
  </si>
  <si>
    <t>2/30</t>
  </si>
  <si>
    <t>Gaurav Mahajan's Brother in law</t>
  </si>
  <si>
    <t>SDM/1053</t>
  </si>
  <si>
    <t>God Idols: Shiv parivar &amp; Hanuman Ji</t>
  </si>
  <si>
    <t>2/31</t>
  </si>
  <si>
    <t>Payment to Rishi for the work done on 4th Sep 2025</t>
  </si>
  <si>
    <t>Dolly Marwaha</t>
  </si>
  <si>
    <t>2/32</t>
  </si>
  <si>
    <t>Payment to rishi for Work done till 7th Sep 2025</t>
  </si>
  <si>
    <t>1/33</t>
  </si>
  <si>
    <t>2/33</t>
  </si>
  <si>
    <t>Payment for Red Stone &amp; Carriage in cash</t>
  </si>
  <si>
    <t>Gaurav Mahajan's Sister in law</t>
  </si>
  <si>
    <t>2/34</t>
  </si>
  <si>
    <t>Red Stone Online Payment by mayank</t>
  </si>
  <si>
    <t>B9/604</t>
  </si>
  <si>
    <t>2/35</t>
  </si>
  <si>
    <t>SDM/1010</t>
  </si>
  <si>
    <t>Additional 3 Boxes + Carriage Tiles</t>
  </si>
  <si>
    <t>Abhishek</t>
  </si>
  <si>
    <t>C3-GF11</t>
  </si>
  <si>
    <t>2/36</t>
  </si>
  <si>
    <t>Arolite for Mandir</t>
  </si>
  <si>
    <t>1/34</t>
  </si>
  <si>
    <t>Team Meenaksi/Suchi</t>
  </si>
  <si>
    <t>2/37</t>
  </si>
  <si>
    <t>Cement Bags for Outerwalls</t>
  </si>
  <si>
    <t>Team Meenakshi/Suchi</t>
  </si>
  <si>
    <t>2/38</t>
  </si>
  <si>
    <t>Tile Adhesive Outewalls and Top (150 Bags Shiv Durga Mandir NCT - Donation &amp; Expenses</t>
  </si>
  <si>
    <t>Khushi</t>
  </si>
  <si>
    <t>2/39</t>
  </si>
  <si>
    <t>Jeera Bajri 50-50 Ft HARMEET</t>
  </si>
  <si>
    <t>C4-503</t>
  </si>
  <si>
    <t>1/35</t>
  </si>
  <si>
    <t>2/40</t>
  </si>
  <si>
    <t>Rishi pathar wala payment (8 Sep - 11 sep)</t>
  </si>
  <si>
    <t>2/41</t>
  </si>
  <si>
    <t>Payment to Harmeet Contractor (False Ceiling)</t>
  </si>
  <si>
    <t>SDM/1011</t>
  </si>
  <si>
    <t>2/42</t>
  </si>
  <si>
    <t>Aarav Sethi</t>
  </si>
  <si>
    <t>Rishi pathar wala payment (12 Sep - 18 sep)</t>
  </si>
  <si>
    <t>C4/501</t>
  </si>
  <si>
    <t>2/43</t>
  </si>
  <si>
    <t>1/36</t>
  </si>
  <si>
    <t>SandeStone 1300 Sqft</t>
  </si>
  <si>
    <t>2/44</t>
  </si>
  <si>
    <t>Mandir Saman</t>
  </si>
  <si>
    <t>OPs</t>
  </si>
  <si>
    <t>2/45</t>
  </si>
  <si>
    <t>Payment to Rishi From 19 Sep -26 Sep</t>
  </si>
  <si>
    <t>Trivik</t>
  </si>
  <si>
    <t>C4-601</t>
  </si>
  <si>
    <t>2/46</t>
  </si>
  <si>
    <t>300 Bricks + Carriage</t>
  </si>
  <si>
    <t>1/37</t>
  </si>
  <si>
    <t>2/47</t>
  </si>
  <si>
    <t>Amit Katiyar</t>
  </si>
  <si>
    <t>Payment to Harmeet for FalseCeling Work</t>
  </si>
  <si>
    <t>B7/301</t>
  </si>
  <si>
    <t>2/48</t>
  </si>
  <si>
    <t>SDM/1012</t>
  </si>
  <si>
    <t>Payment tp Dharmender Ragdai wala</t>
  </si>
  <si>
    <t>Dr.Vishal</t>
  </si>
  <si>
    <t>2/49</t>
  </si>
  <si>
    <t>SDM/1028</t>
  </si>
  <si>
    <t>C3-311</t>
  </si>
  <si>
    <t>Payment to Rishi (27 Sep - 4 Oct 2025)</t>
  </si>
  <si>
    <t>1/38</t>
  </si>
  <si>
    <t>2/50</t>
  </si>
  <si>
    <t>Moulding Polish Work (9Days)</t>
  </si>
  <si>
    <t>2/51</t>
  </si>
  <si>
    <t>Labour payment to Rishi (5oct - 10 oct)</t>
  </si>
  <si>
    <t>2/52</t>
  </si>
  <si>
    <t>Sunaina</t>
  </si>
  <si>
    <t>Advance payment for Main door</t>
  </si>
  <si>
    <t>C3-101</t>
  </si>
  <si>
    <t>2/53</t>
  </si>
  <si>
    <t>1/39</t>
  </si>
  <si>
    <t>10 Cement Packs</t>
  </si>
  <si>
    <t>Khullar Aunty</t>
  </si>
  <si>
    <t>2/54</t>
  </si>
  <si>
    <t>B8/302</t>
  </si>
  <si>
    <t xml:space="preserve"> Lights for Diwali Decoration </t>
  </si>
  <si>
    <t>SDM/1013</t>
  </si>
  <si>
    <t>2/55</t>
  </si>
  <si>
    <t xml:space="preserve">Tiles 500ft for Terrace </t>
  </si>
  <si>
    <t>Vikas Sachdeva</t>
  </si>
  <si>
    <t>SDM/1034</t>
  </si>
  <si>
    <t>2/56</t>
  </si>
  <si>
    <t>C4-GF3</t>
  </si>
  <si>
    <t>Advance for Top Jali to Faiz Khan</t>
  </si>
  <si>
    <t>SDM/1046</t>
  </si>
  <si>
    <t>2/57</t>
  </si>
  <si>
    <t xml:space="preserve">Quality Hardware Payment </t>
  </si>
  <si>
    <t>SDM/1077</t>
  </si>
  <si>
    <t>2/58</t>
  </si>
  <si>
    <t>Bajri(50ft) Reta(50Ft)</t>
  </si>
  <si>
    <t>1/40</t>
  </si>
  <si>
    <t>2/59</t>
  </si>
  <si>
    <t>Payment to Rishi Labour( 11th Oct -17th Oct)</t>
  </si>
  <si>
    <t>Aditya Nautiyal</t>
  </si>
  <si>
    <t>2/60</t>
  </si>
  <si>
    <t>D2/603</t>
  </si>
  <si>
    <t xml:space="preserve">Final Payment to Harmeet </t>
  </si>
  <si>
    <t>SDM/1014</t>
  </si>
  <si>
    <t>Monica</t>
  </si>
  <si>
    <t>2/61</t>
  </si>
  <si>
    <t>C4-502</t>
  </si>
  <si>
    <t>Advance Payment to Rishi for Labour</t>
  </si>
  <si>
    <t>2/62</t>
  </si>
  <si>
    <t>1/41</t>
  </si>
  <si>
    <t xml:space="preserve">Red Stone 500ft additional </t>
  </si>
  <si>
    <t>2/63</t>
  </si>
  <si>
    <t>Payment to Ansh Phool wala</t>
  </si>
  <si>
    <t>2/64</t>
  </si>
  <si>
    <t>Payment for Mandir work</t>
  </si>
  <si>
    <t>Akul Bajaj</t>
  </si>
  <si>
    <t>2/65</t>
  </si>
  <si>
    <t>C3-309</t>
  </si>
  <si>
    <t>Mandir Ghee + Honey</t>
  </si>
  <si>
    <t>1/42</t>
  </si>
  <si>
    <t>2/66</t>
  </si>
  <si>
    <t>Hareet Goyal</t>
  </si>
  <si>
    <t>Payment for Tent &amp; Water Tanker ( Ankoot)</t>
  </si>
  <si>
    <t>B3/GF01</t>
  </si>
  <si>
    <t>2/67</t>
  </si>
  <si>
    <t>Ghee bought on 12 Oct</t>
  </si>
  <si>
    <t>SDM/1015</t>
  </si>
  <si>
    <t>ops</t>
  </si>
  <si>
    <t>2/68</t>
  </si>
  <si>
    <t>SA Cement for Jali (30) &amp; Stand (60)</t>
  </si>
  <si>
    <t>Rohit Sarpal</t>
  </si>
  <si>
    <t>2/69</t>
  </si>
  <si>
    <t>C3-508</t>
  </si>
  <si>
    <t>Pending Payment to Ryan Timber (Amit Katiyar) for door, Hinges &amp; Frieght of gate</t>
  </si>
  <si>
    <t>1/43</t>
  </si>
  <si>
    <t>2/70</t>
  </si>
  <si>
    <t>Payment to painter ( Brij Kishore) for Gate</t>
  </si>
  <si>
    <t>Payment to Dharmendra Ragdai wala</t>
  </si>
  <si>
    <t>10 Bags Cemenet</t>
  </si>
  <si>
    <t>Sumit Narang</t>
  </si>
  <si>
    <t>Dinesh Saklani</t>
  </si>
  <si>
    <t>C3-207</t>
  </si>
  <si>
    <t>Epoxy Grout, 6 Bags paid, 5 Free</t>
  </si>
  <si>
    <t>1/44</t>
  </si>
  <si>
    <t>SDM/1016</t>
  </si>
  <si>
    <t>Payment to rishi for Jali</t>
  </si>
  <si>
    <t>Payment to Brij Kishore for Polish</t>
  </si>
  <si>
    <t>Priyanka</t>
  </si>
  <si>
    <t>C3-312</t>
  </si>
  <si>
    <t>1/45</t>
  </si>
  <si>
    <t>Frieght for Gate</t>
  </si>
  <si>
    <t>17 Nov 205</t>
  </si>
  <si>
    <t>Payment to rishi for Jali Labour</t>
  </si>
  <si>
    <t>Ish Madaan</t>
  </si>
  <si>
    <t>B4/402</t>
  </si>
  <si>
    <t>Krishna</t>
  </si>
  <si>
    <t>C3-112</t>
  </si>
  <si>
    <t>SDM/1017</t>
  </si>
  <si>
    <t>1/46</t>
  </si>
  <si>
    <t>Payment to Rishi for 3 side Fasrh work</t>
  </si>
  <si>
    <t>Flower Decoration 3 Days</t>
  </si>
  <si>
    <t>3/13</t>
  </si>
  <si>
    <t>New Hira Band</t>
  </si>
  <si>
    <t>C3-602</t>
  </si>
  <si>
    <t>3/14</t>
  </si>
  <si>
    <t>1/47</t>
  </si>
  <si>
    <t>Cameraman</t>
  </si>
  <si>
    <t>3/15</t>
  </si>
  <si>
    <t>Dakshina to all Pandit Ji</t>
  </si>
  <si>
    <t>Sharma Ji</t>
  </si>
  <si>
    <t>3/16</t>
  </si>
  <si>
    <t>B13/GF03</t>
  </si>
  <si>
    <t>Payment to Ansh for Sep &amp; Oct</t>
  </si>
  <si>
    <t>Santosh</t>
  </si>
  <si>
    <t>C3-302</t>
  </si>
  <si>
    <t>SDM/1018</t>
  </si>
  <si>
    <t>3/17</t>
  </si>
  <si>
    <t>Expenses on event mentioned in voucher book</t>
  </si>
  <si>
    <t>1/48</t>
  </si>
  <si>
    <t>3/18</t>
  </si>
  <si>
    <t>Hanuman ji Darbar Advance</t>
  </si>
  <si>
    <t>3/19</t>
  </si>
  <si>
    <t>Diseal &amp; Toll for 1 car for Shobha Yatra</t>
  </si>
  <si>
    <t>3/20</t>
  </si>
  <si>
    <t>Shanil</t>
  </si>
  <si>
    <t>Diseal Expense for Jaipur</t>
  </si>
  <si>
    <t>C3-501</t>
  </si>
  <si>
    <t>3/21</t>
  </si>
  <si>
    <t xml:space="preserve">Jaipur Trip to Buy Murti's - Details in Voucher </t>
  </si>
  <si>
    <t>1/49</t>
  </si>
  <si>
    <t>3/22</t>
  </si>
  <si>
    <t xml:space="preserve">Manju  </t>
  </si>
  <si>
    <t>2nd Car Toll + Petrol + driver + Jagarnath</t>
  </si>
  <si>
    <t>B8/103</t>
  </si>
  <si>
    <t>3/23</t>
  </si>
  <si>
    <t>Partial Payment to Meenakshi Chaturvedi for the Pooja Samagri</t>
  </si>
  <si>
    <t>SDM/1019</t>
  </si>
  <si>
    <t>Seema</t>
  </si>
  <si>
    <t>C4-401</t>
  </si>
  <si>
    <t>3/24</t>
  </si>
  <si>
    <t>Details in Voucher for mutiple material for event</t>
  </si>
  <si>
    <t>3/25</t>
  </si>
  <si>
    <t>Hanuman ji Darbar( 2nd Installment)</t>
  </si>
  <si>
    <t>3/26</t>
  </si>
  <si>
    <t>Final payment Hanuman ji Darbar</t>
  </si>
  <si>
    <t>3/27</t>
  </si>
  <si>
    <t>Chuni Decoration</t>
  </si>
  <si>
    <t>Manoj Gupta</t>
  </si>
  <si>
    <t>C3-107</t>
  </si>
  <si>
    <t>3/28</t>
  </si>
  <si>
    <t>Pagdi's(100)</t>
  </si>
  <si>
    <t>Shikha Mittal</t>
  </si>
  <si>
    <t>3/29</t>
  </si>
  <si>
    <t>Trishul's</t>
  </si>
  <si>
    <t>B9/303</t>
  </si>
  <si>
    <t>3/30</t>
  </si>
  <si>
    <t>SDM/1020</t>
  </si>
  <si>
    <t>Flex printing-8</t>
  </si>
  <si>
    <t>Sagar</t>
  </si>
  <si>
    <t>3/31</t>
  </si>
  <si>
    <t>SDM/1036</t>
  </si>
  <si>
    <t>C2-409</t>
  </si>
  <si>
    <t>All Idols Dresses</t>
  </si>
  <si>
    <t>SDM/1048</t>
  </si>
  <si>
    <t>3/32</t>
  </si>
  <si>
    <t>Payment to Pandit ji for Samapan</t>
  </si>
  <si>
    <t>3/33</t>
  </si>
  <si>
    <t>Door Mats</t>
  </si>
  <si>
    <t>3/34</t>
  </si>
  <si>
    <t>Sushant</t>
  </si>
  <si>
    <t>Ompal</t>
  </si>
  <si>
    <t>C3-GF09</t>
  </si>
  <si>
    <t>3/35</t>
  </si>
  <si>
    <t>Final Payment Meenakshi ji</t>
  </si>
  <si>
    <t>Rohit Nagpal</t>
  </si>
  <si>
    <t>3/36</t>
  </si>
  <si>
    <t>B7/202</t>
  </si>
  <si>
    <t>Payment for Tulsi Stand</t>
  </si>
  <si>
    <t>3/37</t>
  </si>
  <si>
    <t>SDM/1021</t>
  </si>
  <si>
    <t>Anti Skit Tape, Gamla, Tub, Plumber, Bidding for gate</t>
  </si>
  <si>
    <t>K.K Chawla</t>
  </si>
  <si>
    <t>C3-105</t>
  </si>
  <si>
    <t>3/38</t>
  </si>
  <si>
    <t>Tent payment for 3 days Event</t>
  </si>
  <si>
    <t>3/39</t>
  </si>
  <si>
    <t>Cement Bags</t>
  </si>
  <si>
    <t>14 Dec 205</t>
  </si>
  <si>
    <t>3/40</t>
  </si>
  <si>
    <t>Grill Payment</t>
  </si>
  <si>
    <t>Rakesh Tikku</t>
  </si>
  <si>
    <t>3/41</t>
  </si>
  <si>
    <t>C3-305</t>
  </si>
  <si>
    <t>Murti Wala Delivery Boy Extra payment (Extra + Ganesh ji (11000))</t>
  </si>
  <si>
    <t>3/42</t>
  </si>
  <si>
    <t>Daily Saman for mandir - 17 Nov 2025</t>
  </si>
  <si>
    <t>Ravi Kant</t>
  </si>
  <si>
    <t>3/43</t>
  </si>
  <si>
    <t>C2/212</t>
  </si>
  <si>
    <t>Hanuman Ji Darbar Transport</t>
  </si>
  <si>
    <t>SDM/1022</t>
  </si>
  <si>
    <t>3/44</t>
  </si>
  <si>
    <t>Speaker Payment</t>
  </si>
  <si>
    <t>3/45</t>
  </si>
  <si>
    <t>Payment to Brij Kishore Painter on 19th Nov &amp; 29th Nov</t>
  </si>
  <si>
    <t>3/46</t>
  </si>
  <si>
    <t>Final Payment to Brij Kishore Painter</t>
  </si>
  <si>
    <t>3/47</t>
  </si>
  <si>
    <t>Payment to plumber for Ro &amp; Gyser</t>
  </si>
  <si>
    <t>Rakesh</t>
  </si>
  <si>
    <t>C3-511</t>
  </si>
  <si>
    <t>3/48</t>
  </si>
  <si>
    <t xml:space="preserve">Payment for taps to plumber </t>
  </si>
  <si>
    <t>3/49</t>
  </si>
  <si>
    <t>Dina Nath Rajolia</t>
  </si>
  <si>
    <t>Payment to Electician</t>
  </si>
  <si>
    <t>patiala</t>
  </si>
  <si>
    <t>3/50</t>
  </si>
  <si>
    <t>Labour for Side wall ( Road side)</t>
  </si>
  <si>
    <t>SDM/1023</t>
  </si>
  <si>
    <t>Rajni</t>
  </si>
  <si>
    <t>C4-101</t>
  </si>
  <si>
    <t>3/51</t>
  </si>
  <si>
    <t xml:space="preserve">Backside Almirahs </t>
  </si>
  <si>
    <t>3/52</t>
  </si>
  <si>
    <t>Advance to Satvir Advocate for Registration</t>
  </si>
  <si>
    <t>3/53</t>
  </si>
  <si>
    <t xml:space="preserve">Details in Voucher for mutiple material </t>
  </si>
  <si>
    <t>Sandhu</t>
  </si>
  <si>
    <t>3/54</t>
  </si>
  <si>
    <t>C3-308</t>
  </si>
  <si>
    <t>Airtel Wifi Payment</t>
  </si>
  <si>
    <t>3/55</t>
  </si>
  <si>
    <t>Labour for Wood Work ( Singhasan)</t>
  </si>
  <si>
    <t>Rana Ji</t>
  </si>
  <si>
    <t>3/56</t>
  </si>
  <si>
    <t>Reimbursiment to Amit Vats</t>
  </si>
  <si>
    <t>3/57</t>
  </si>
  <si>
    <t>SDM/1024</t>
  </si>
  <si>
    <t>Sudha</t>
  </si>
  <si>
    <t>Plumbing Material</t>
  </si>
  <si>
    <t>C3-GF06</t>
  </si>
  <si>
    <t>3/58</t>
  </si>
  <si>
    <t>Pending Payment to Adv Satvir ji</t>
  </si>
  <si>
    <t>3/59</t>
  </si>
  <si>
    <t>Details in Voucher book</t>
  </si>
  <si>
    <t>3/60</t>
  </si>
  <si>
    <t>Safai ( savita ) Payment Jan</t>
  </si>
  <si>
    <t>SDM/1060</t>
  </si>
  <si>
    <t>Sachin Kapoor</t>
  </si>
  <si>
    <t>3/61</t>
  </si>
  <si>
    <t>546-Silver City</t>
  </si>
  <si>
    <t>Shivling Mitti for Shivratri</t>
  </si>
  <si>
    <t>3/62</t>
  </si>
  <si>
    <t>Mayank</t>
  </si>
  <si>
    <t>Payment to Halwai for Shivratri</t>
  </si>
  <si>
    <t>Lalit Ji</t>
  </si>
  <si>
    <t>3/63</t>
  </si>
  <si>
    <t>C3/404</t>
  </si>
  <si>
    <t>3/64</t>
  </si>
  <si>
    <t>Sapna Kalya</t>
  </si>
  <si>
    <t>Details Mentione in Vocher for multiple material</t>
  </si>
  <si>
    <t>548-Silver City</t>
  </si>
  <si>
    <t>3/65</t>
  </si>
  <si>
    <t>SDM/1025</t>
  </si>
  <si>
    <t>Decoration payment</t>
  </si>
  <si>
    <t>3/66</t>
  </si>
  <si>
    <t>Reimburisment to Amit Vats, Details in receipt Book</t>
  </si>
  <si>
    <t>3/67</t>
  </si>
  <si>
    <t>Advance paid to Halwai for Phoolon Ke Holi</t>
  </si>
  <si>
    <t>3/68</t>
  </si>
  <si>
    <t>Hina Kalya/Rimpi Kaplish</t>
  </si>
  <si>
    <t>Shivratiri Tent Payment</t>
  </si>
  <si>
    <t>Khanna Flour Mill (Paid on 22 March 2026)</t>
  </si>
  <si>
    <t>Kamal Hasija</t>
  </si>
  <si>
    <t>Phoolon Ke Holi</t>
  </si>
  <si>
    <t>Gujiya prashad</t>
  </si>
  <si>
    <t>Pawan Khullar</t>
  </si>
  <si>
    <t>SDM/1030</t>
  </si>
  <si>
    <t>Savita Salary for Feb</t>
  </si>
  <si>
    <t>SDM/1061</t>
  </si>
  <si>
    <t>Santosh for Deep Cleaning Mandir</t>
  </si>
  <si>
    <t>Mayank Aggarwal, Amit Vats</t>
  </si>
  <si>
    <t>SDM/1062</t>
  </si>
  <si>
    <t>Pending Construction Work Done by Navin Ji</t>
  </si>
  <si>
    <t>SDM/1063</t>
  </si>
  <si>
    <t>Deepak Ghambir</t>
  </si>
  <si>
    <t>Stapler + Tie+ Pins</t>
  </si>
  <si>
    <t>C4/301</t>
  </si>
  <si>
    <t>Cable + Tape</t>
  </si>
  <si>
    <t>Ruchi Aggarwal</t>
  </si>
  <si>
    <t>Camera Installation &amp; Saman (Nanda Ji)</t>
  </si>
  <si>
    <t>Dupate For Decoration Of mandir (Nanda Ji)</t>
  </si>
  <si>
    <t>Anil Kumar Seth</t>
  </si>
  <si>
    <t>SDM/1035</t>
  </si>
  <si>
    <t>B8/203</t>
  </si>
  <si>
    <t>10 flood Lights (Nanda Ji)</t>
  </si>
  <si>
    <t>SDM/1047</t>
  </si>
  <si>
    <t>Shastri Ji Aasan + Ply</t>
  </si>
  <si>
    <t>4/13</t>
  </si>
  <si>
    <t>Rohtash Payment For Bhandara Vegetable</t>
  </si>
  <si>
    <t>4/14</t>
  </si>
  <si>
    <t>Indu Dhall</t>
  </si>
  <si>
    <t>Halwai Saman For Bhandara</t>
  </si>
  <si>
    <t>B15/302</t>
  </si>
  <si>
    <t>4/15</t>
  </si>
  <si>
    <t>Disposals,Water, Boondi for Bhandara</t>
  </si>
  <si>
    <t>Nirmal Bansal</t>
  </si>
  <si>
    <t>B4/202</t>
  </si>
  <si>
    <t>4/16</t>
  </si>
  <si>
    <t>Ansh Phpool wala Payment</t>
  </si>
  <si>
    <t>4/17</t>
  </si>
  <si>
    <t>Kamal Tricity Electrical</t>
  </si>
  <si>
    <t>SDM/1037</t>
  </si>
  <si>
    <t>4/18</t>
  </si>
  <si>
    <t>Savita Salary for March &amp; April 2026 to Sakshi Bhabhi ji</t>
  </si>
  <si>
    <t>SDM/1049</t>
  </si>
  <si>
    <t>4/19</t>
  </si>
  <si>
    <t>Payment for Plants outside the mandir</t>
  </si>
  <si>
    <t>SDM/1065</t>
  </si>
  <si>
    <t>4/20</t>
  </si>
  <si>
    <t>Payment For Tent by Mayank</t>
  </si>
  <si>
    <t>SDM/1076</t>
  </si>
  <si>
    <t>Sarabveer Singh</t>
  </si>
  <si>
    <t>4/21</t>
  </si>
  <si>
    <t>B12/201</t>
  </si>
  <si>
    <t>Payment for Daily Flower for Pooja</t>
  </si>
  <si>
    <t>Tripta Garg</t>
  </si>
  <si>
    <t>B4/GF02</t>
  </si>
  <si>
    <t>SDM/1038</t>
  </si>
  <si>
    <t>Parveen Vij</t>
  </si>
  <si>
    <t>B15/D1</t>
  </si>
  <si>
    <t>SDM/1050</t>
  </si>
  <si>
    <t>Lalit Jindal</t>
  </si>
  <si>
    <t>C3-402</t>
  </si>
  <si>
    <t>Gaurav Kumar</t>
  </si>
  <si>
    <t>B11/GF04</t>
  </si>
  <si>
    <t>Vivek Trivedi</t>
  </si>
  <si>
    <t>SDM/1040</t>
  </si>
  <si>
    <t>C3-201</t>
  </si>
  <si>
    <t>SDM/1052</t>
  </si>
  <si>
    <t>Rajiv Sharma</t>
  </si>
  <si>
    <t>C3-GF07</t>
  </si>
  <si>
    <t>Rakesh Karkara</t>
  </si>
  <si>
    <t>B12/103</t>
  </si>
  <si>
    <t>SDM/1045</t>
  </si>
  <si>
    <t>Rashmi JI</t>
  </si>
  <si>
    <t>C2-304</t>
  </si>
  <si>
    <t>Prashant Chugh</t>
  </si>
  <si>
    <t>B11/303</t>
  </si>
  <si>
    <t>Ekta</t>
  </si>
  <si>
    <t>C2-502</t>
  </si>
  <si>
    <t>Rajesh Sharma</t>
  </si>
  <si>
    <t>C2-501</t>
  </si>
  <si>
    <t>B14</t>
  </si>
  <si>
    <t>SDM/1054</t>
  </si>
  <si>
    <t>SDM/1055</t>
  </si>
  <si>
    <t>H.k Boutique</t>
  </si>
  <si>
    <t>C2-102</t>
  </si>
  <si>
    <t>SDM/1056</t>
  </si>
  <si>
    <t>SDM/1057</t>
  </si>
  <si>
    <t>SDM/1058</t>
  </si>
  <si>
    <t>SDM/1059</t>
  </si>
  <si>
    <t>Jagriti</t>
  </si>
  <si>
    <t>C1-GF05</t>
  </si>
  <si>
    <t>Rani Taneja</t>
  </si>
  <si>
    <t>Baby Ji</t>
  </si>
  <si>
    <t>C1-604</t>
  </si>
  <si>
    <t>SDM/1064</t>
  </si>
  <si>
    <t>Neeru</t>
  </si>
  <si>
    <t>C2-403</t>
  </si>
  <si>
    <t>Himani Sharma</t>
  </si>
  <si>
    <t>SDM/1066</t>
  </si>
  <si>
    <t>SDM/1067</t>
  </si>
  <si>
    <t>SDM/1068</t>
  </si>
  <si>
    <t>Charu</t>
  </si>
  <si>
    <t>Sagar Kataria</t>
  </si>
  <si>
    <t>LR Jangra</t>
  </si>
  <si>
    <t>SDM/1069</t>
  </si>
  <si>
    <t>B14-103</t>
  </si>
  <si>
    <t>SDM/1070</t>
  </si>
  <si>
    <t>SDM/1071</t>
  </si>
  <si>
    <t>Ruchika Kapoor</t>
  </si>
  <si>
    <t>B4-302</t>
  </si>
  <si>
    <t>PArul Munjal</t>
  </si>
  <si>
    <t>SDM/1072</t>
  </si>
  <si>
    <t>Kiran Kochar</t>
  </si>
  <si>
    <t>B14/304</t>
  </si>
  <si>
    <t>SDM/1073</t>
  </si>
  <si>
    <t>SDM/1074</t>
  </si>
  <si>
    <t>Bunty Bhabhi</t>
  </si>
  <si>
    <t>Soni Dhiman</t>
  </si>
  <si>
    <t>1203, Silver City</t>
  </si>
  <si>
    <t>SDM/1075</t>
  </si>
  <si>
    <t>989620911/8168246732</t>
  </si>
  <si>
    <t>Asha Bajaj Aunty</t>
  </si>
  <si>
    <t>Param</t>
  </si>
  <si>
    <t>C3-203</t>
  </si>
  <si>
    <t>SDM/1078</t>
  </si>
  <si>
    <t>Rajesh Khonsla</t>
  </si>
  <si>
    <t>c2/502</t>
  </si>
  <si>
    <t>11 Bags Cement</t>
  </si>
  <si>
    <t>Neelam Dhupar</t>
  </si>
  <si>
    <t>C3/411</t>
  </si>
  <si>
    <t>Mrs Karkara</t>
  </si>
  <si>
    <t>Bantu Rishi</t>
  </si>
  <si>
    <t>C3/08</t>
  </si>
  <si>
    <t>Rinku Singh</t>
  </si>
  <si>
    <t>C2/108</t>
  </si>
  <si>
    <t>Amita</t>
  </si>
  <si>
    <t>Yoshita</t>
  </si>
  <si>
    <t>Abhineet Sapra</t>
  </si>
  <si>
    <t>A5/101</t>
  </si>
  <si>
    <t>Mrs.Bhawna Gulati</t>
  </si>
  <si>
    <t>B9/403</t>
  </si>
  <si>
    <t>Team Rajni/Sakhi</t>
  </si>
  <si>
    <t>Mrs.Shikha</t>
  </si>
  <si>
    <t>4/22</t>
  </si>
  <si>
    <t>Mehta Kiran</t>
  </si>
  <si>
    <t>B9/301</t>
  </si>
  <si>
    <t>4/23</t>
  </si>
  <si>
    <t>4/24</t>
  </si>
  <si>
    <t>Anita Malik</t>
  </si>
  <si>
    <t>B9/603</t>
  </si>
  <si>
    <t>4/25</t>
  </si>
  <si>
    <t>Aditi</t>
  </si>
  <si>
    <t>B2/601</t>
  </si>
  <si>
    <t>4/26</t>
  </si>
  <si>
    <t>B2/602</t>
  </si>
  <si>
    <t>4/27</t>
  </si>
  <si>
    <t>Preeti</t>
  </si>
  <si>
    <t>B2/604</t>
  </si>
  <si>
    <t>4/28</t>
  </si>
  <si>
    <t>B2/502</t>
  </si>
  <si>
    <t>4/29</t>
  </si>
  <si>
    <t>B2/401</t>
  </si>
  <si>
    <t>4/30</t>
  </si>
  <si>
    <t>B2/202</t>
  </si>
  <si>
    <t>4/31</t>
  </si>
  <si>
    <t>Divya</t>
  </si>
  <si>
    <t>B2/GF04</t>
  </si>
  <si>
    <t>4/32</t>
  </si>
  <si>
    <t>Mannat</t>
  </si>
  <si>
    <t>B2/GF02</t>
  </si>
  <si>
    <t>4/33</t>
  </si>
  <si>
    <t>Gagan Koachar</t>
  </si>
  <si>
    <t xml:space="preserve">La Prisma </t>
  </si>
  <si>
    <t>4/35</t>
  </si>
  <si>
    <t>B11/04</t>
  </si>
  <si>
    <t>4/34</t>
  </si>
  <si>
    <t>D3-104</t>
  </si>
  <si>
    <t>Virendra Jha</t>
  </si>
  <si>
    <t>B9-104</t>
  </si>
  <si>
    <t>Shanti</t>
  </si>
  <si>
    <t>C2-201</t>
  </si>
  <si>
    <t>GuhanThakur</t>
  </si>
  <si>
    <t>B15-602</t>
  </si>
  <si>
    <t>Mayank Aggarwal, Akhilesh Mahajan, Amit Vats</t>
  </si>
  <si>
    <t>Navneet Singh</t>
  </si>
  <si>
    <t>B15/502</t>
  </si>
  <si>
    <t>Akhilesh Mahajan, Mayank Aggarwal, Amit Vats</t>
  </si>
  <si>
    <t>Dr.Katariya</t>
  </si>
  <si>
    <t>B15/503</t>
  </si>
  <si>
    <t>Head</t>
  </si>
  <si>
    <t>Seema Bansal</t>
  </si>
  <si>
    <t>A2/04</t>
  </si>
  <si>
    <t>Meenakshi Chaturvedi</t>
  </si>
  <si>
    <t>B15/GF04</t>
  </si>
  <si>
    <t>Murti's Cost</t>
  </si>
  <si>
    <t>Vikas Dhamija</t>
  </si>
  <si>
    <t>B13 - 103</t>
  </si>
  <si>
    <t>Mr.Ravi Prabhakar</t>
  </si>
  <si>
    <t>B11/603</t>
  </si>
  <si>
    <t>SDM/7</t>
  </si>
  <si>
    <t>Advance</t>
  </si>
  <si>
    <t>Rajesh Khosla</t>
  </si>
  <si>
    <t>Collection</t>
  </si>
  <si>
    <t>Mr Padam Jain</t>
  </si>
  <si>
    <t>SDM/8</t>
  </si>
  <si>
    <t>Jia Singh</t>
  </si>
  <si>
    <t>C2- 108</t>
  </si>
  <si>
    <t>1st Installment</t>
  </si>
  <si>
    <t>Amount Paid</t>
  </si>
  <si>
    <t>SDM/10</t>
  </si>
  <si>
    <t>Jodh Bhayana</t>
  </si>
  <si>
    <t>92552 84377</t>
  </si>
  <si>
    <t>B6-GF-03</t>
  </si>
  <si>
    <t>2nd Installment</t>
  </si>
  <si>
    <t>In Hand</t>
  </si>
  <si>
    <t>Anil Tandon ji</t>
  </si>
  <si>
    <t>Priya Batra</t>
  </si>
  <si>
    <t>SDM/517</t>
  </si>
  <si>
    <t>Final Payment</t>
  </si>
  <si>
    <t>Short Money</t>
  </si>
  <si>
    <t>Soi Family</t>
  </si>
  <si>
    <t>C Block</t>
  </si>
  <si>
    <t>D1/503</t>
  </si>
  <si>
    <t>SDM/518</t>
  </si>
  <si>
    <t>Lucky (Krishan Bhayana)</t>
  </si>
  <si>
    <t>Neelam Girotra</t>
  </si>
  <si>
    <t>B13-GF02</t>
  </si>
  <si>
    <t>SDM/519</t>
  </si>
  <si>
    <t>Suresh Goyal</t>
  </si>
  <si>
    <t>SDM/520</t>
  </si>
  <si>
    <t>Shelly</t>
  </si>
  <si>
    <t>B15/402</t>
  </si>
  <si>
    <t>Aayansh Mahajan</t>
  </si>
  <si>
    <t>SDM/521</t>
  </si>
  <si>
    <t>Jyoti</t>
  </si>
  <si>
    <t>B15/GF01</t>
  </si>
  <si>
    <t>Mr. Abhiney Sharma</t>
  </si>
  <si>
    <t>SDM/11</t>
  </si>
  <si>
    <t>Renu Ratti/Rakesh Ratti</t>
  </si>
  <si>
    <t>Mr. Nanda</t>
  </si>
  <si>
    <t>SDM/538</t>
  </si>
  <si>
    <t>SDM/541</t>
  </si>
  <si>
    <t>Gupt Daan( Daan Patra)</t>
  </si>
  <si>
    <t>Daan Patra</t>
  </si>
  <si>
    <t>SDM/546</t>
  </si>
  <si>
    <t>Meenakshi Bhabhi</t>
  </si>
  <si>
    <t>C3 Gf03</t>
  </si>
  <si>
    <t>SDM/19</t>
  </si>
  <si>
    <t>Ranjna</t>
  </si>
  <si>
    <t>c3/504</t>
  </si>
  <si>
    <t>Gaurav Rana</t>
  </si>
  <si>
    <t>B12/601</t>
  </si>
  <si>
    <t>Gagan Mehta</t>
  </si>
  <si>
    <t>B15/103</t>
  </si>
  <si>
    <t>R.C Bhardwaj</t>
  </si>
  <si>
    <t>B12/202</t>
  </si>
  <si>
    <t>Piyush Saurav</t>
  </si>
  <si>
    <t>201, Khushal Enclave, Pabhat</t>
  </si>
  <si>
    <t>Sunita</t>
  </si>
  <si>
    <t>C2-101</t>
  </si>
  <si>
    <t xml:space="preserve"> 3/26</t>
  </si>
  <si>
    <t>Anchal</t>
  </si>
  <si>
    <t>B15/401</t>
  </si>
  <si>
    <t>Rakesh Kumar</t>
  </si>
  <si>
    <t>B8/301</t>
  </si>
  <si>
    <t>Kuldeep Mangal</t>
  </si>
  <si>
    <t>B8/601</t>
  </si>
  <si>
    <t>Anu</t>
  </si>
  <si>
    <t>B8/602</t>
  </si>
  <si>
    <t>Mrs Dolly</t>
  </si>
  <si>
    <t>B8/603</t>
  </si>
  <si>
    <t>Mr.Deepak</t>
  </si>
  <si>
    <t>B8/503</t>
  </si>
  <si>
    <t>Rajan</t>
  </si>
  <si>
    <t>B8/501</t>
  </si>
  <si>
    <t>Shilpi</t>
  </si>
  <si>
    <t>B8/304</t>
  </si>
  <si>
    <t>Deepika Chalena</t>
  </si>
  <si>
    <t>B11/403</t>
  </si>
  <si>
    <t>5A/1</t>
  </si>
  <si>
    <t>Sujata Banerjee</t>
  </si>
  <si>
    <t>5A/2</t>
  </si>
  <si>
    <t>Mayank Account</t>
  </si>
  <si>
    <t>Mr.Boparai</t>
  </si>
  <si>
    <t>B11/201</t>
  </si>
  <si>
    <t>5A/3</t>
  </si>
  <si>
    <t>Pavneet Kaur</t>
  </si>
  <si>
    <t>Reimbuirsment to Amit Vats ji (Details in Voucher)</t>
  </si>
  <si>
    <t>5A/4</t>
  </si>
  <si>
    <t>Payment to NCT Maintence Office for Booking Club House on Shivratri (Receipt No : 53)</t>
  </si>
  <si>
    <t>Jagmohan</t>
  </si>
  <si>
    <t>Payment to Raman Ji Dress Wale (Ambala) for Changing Dresses of all Idols</t>
  </si>
  <si>
    <t>B11/204</t>
  </si>
  <si>
    <t>5A/5</t>
  </si>
  <si>
    <t>Payment To Rohtash For Fruits on Sthapna Diwas Hawan</t>
  </si>
  <si>
    <t>Mr.Vinod Maidan</t>
  </si>
  <si>
    <t>B11/203</t>
  </si>
  <si>
    <t>Reimbuirsment to Mayank ( Details in Voucher)</t>
  </si>
  <si>
    <t>5A/6</t>
  </si>
  <si>
    <t>Mr. P.K Sharma</t>
  </si>
  <si>
    <t>Mandir all Carpet dry Cleaning</t>
  </si>
  <si>
    <t>B10/103</t>
  </si>
  <si>
    <t>Ni Bill</t>
  </si>
  <si>
    <t>5A/7</t>
  </si>
  <si>
    <t>Reimbuirsment to Prashad Boxes (Rs 44*300)</t>
  </si>
  <si>
    <t>B8/102</t>
  </si>
  <si>
    <t>Mango Festival</t>
  </si>
  <si>
    <t>5A/8</t>
  </si>
  <si>
    <t>Udit For RO Repair</t>
  </si>
  <si>
    <t>Kirtan Mandli</t>
  </si>
  <si>
    <t>B9 Tower</t>
  </si>
  <si>
    <t>5A/9</t>
  </si>
  <si>
    <t>Savita Salary May 2026</t>
  </si>
  <si>
    <t>Mrs Vipin Puri</t>
  </si>
  <si>
    <t>B9</t>
  </si>
  <si>
    <t>Payment To Dholki Wala by Akhilesh (Details in Voucher)</t>
  </si>
  <si>
    <t>5A/10</t>
  </si>
  <si>
    <t>Internet Bill Paid by Akhilesh</t>
  </si>
  <si>
    <t>Mrs. Kiran Bhatia</t>
  </si>
  <si>
    <t>B1/GF01</t>
  </si>
  <si>
    <t>5A/11</t>
  </si>
  <si>
    <t>Savita Salary (June 2026(</t>
  </si>
  <si>
    <t>Mrs. Dolly</t>
  </si>
  <si>
    <t>B13/501</t>
  </si>
  <si>
    <t>Ac Service</t>
  </si>
  <si>
    <t>5A/12</t>
  </si>
  <si>
    <t>Ruby Garg</t>
  </si>
  <si>
    <t>B13/502</t>
  </si>
  <si>
    <t>5A/13</t>
  </si>
  <si>
    <t>Neelam Sharma</t>
  </si>
  <si>
    <t>B13/401</t>
  </si>
  <si>
    <t>5A/14</t>
  </si>
  <si>
    <t>Amrita Kaur</t>
  </si>
  <si>
    <t>5A/15</t>
  </si>
  <si>
    <t>5A/16</t>
  </si>
  <si>
    <t>Sharda Sharma</t>
  </si>
  <si>
    <t>B13/GF-03</t>
  </si>
  <si>
    <t>5A/17</t>
  </si>
  <si>
    <t>Sagita Goirtra</t>
  </si>
  <si>
    <t>B13</t>
  </si>
  <si>
    <t>5A/18</t>
  </si>
  <si>
    <t>Amandeep Chugh</t>
  </si>
  <si>
    <t>B9/202</t>
  </si>
  <si>
    <t>5A/19</t>
  </si>
  <si>
    <t>Expense</t>
  </si>
  <si>
    <t>Expense By</t>
  </si>
  <si>
    <t>Tripta Verma</t>
  </si>
  <si>
    <t>B11/104</t>
  </si>
  <si>
    <t>5A/20</t>
  </si>
  <si>
    <t>Ballon Decoration</t>
  </si>
  <si>
    <t>Flower Decoration</t>
  </si>
  <si>
    <t>Comitee</t>
  </si>
  <si>
    <t>Fruits</t>
  </si>
  <si>
    <t>Disposals (Dhona, Plates, etc)</t>
  </si>
  <si>
    <t>Anju Maan Singh</t>
  </si>
  <si>
    <t>Prasad Boxes</t>
  </si>
  <si>
    <t>Mandir MCB</t>
  </si>
  <si>
    <t>5A/21</t>
  </si>
  <si>
    <t>56 Bhog</t>
  </si>
  <si>
    <t>10 Water Crates</t>
  </si>
  <si>
    <t>Dhol</t>
  </si>
  <si>
    <t>Anshu Sethi</t>
  </si>
  <si>
    <t>B13/102</t>
  </si>
  <si>
    <t>Lights(6)</t>
  </si>
  <si>
    <t>Colors</t>
  </si>
  <si>
    <t>5A/22</t>
  </si>
  <si>
    <t>Jagannath(Sharma Ji)</t>
  </si>
  <si>
    <t>Carry Bag (200)</t>
  </si>
  <si>
    <t>Cells</t>
  </si>
  <si>
    <t>Ashwani Kumar Mahajan</t>
  </si>
  <si>
    <t>Sangrur</t>
  </si>
  <si>
    <t>hit &amp; Brush for Flat</t>
  </si>
  <si>
    <t>Mathura Peda</t>
  </si>
  <si>
    <t>Patiala</t>
  </si>
  <si>
    <t>Rajni Kalra</t>
  </si>
  <si>
    <t>B8/201</t>
  </si>
  <si>
    <t>Shallu Jain</t>
  </si>
  <si>
    <t>B8/202</t>
  </si>
  <si>
    <t>Vikram Singh</t>
  </si>
  <si>
    <t>B8/GF01</t>
  </si>
  <si>
    <t>CHaranjeet Singh</t>
  </si>
  <si>
    <t>B1/602</t>
  </si>
  <si>
    <t>Reena</t>
  </si>
  <si>
    <t>B1/603</t>
  </si>
  <si>
    <t>K.K Mehta</t>
  </si>
  <si>
    <t>B1/502</t>
  </si>
  <si>
    <t>Pramila</t>
  </si>
  <si>
    <t>B1/503</t>
  </si>
  <si>
    <t>Mrs.Gill</t>
  </si>
  <si>
    <t>B1/301</t>
  </si>
  <si>
    <t>Jaspreet Singh</t>
  </si>
  <si>
    <t>B1/204</t>
  </si>
  <si>
    <t>Rajesh</t>
  </si>
  <si>
    <t>B1/203</t>
  </si>
  <si>
    <t>Vikas Makol</t>
  </si>
  <si>
    <t>B1/Gf-04</t>
  </si>
  <si>
    <t>Ashok Vij</t>
  </si>
  <si>
    <t>B8/204</t>
  </si>
  <si>
    <t>Liza</t>
  </si>
  <si>
    <t>B2/203</t>
  </si>
  <si>
    <t>B1/101</t>
  </si>
  <si>
    <t>4/36</t>
  </si>
  <si>
    <t>Lovleen Singh</t>
  </si>
  <si>
    <t>B10/601</t>
  </si>
  <si>
    <t>4/37</t>
  </si>
  <si>
    <t>Monika</t>
  </si>
  <si>
    <t>B10/604</t>
  </si>
  <si>
    <t>4/38</t>
  </si>
  <si>
    <t>Manish Dev</t>
  </si>
  <si>
    <t>B10/502</t>
  </si>
  <si>
    <t>4/39</t>
  </si>
  <si>
    <t>B10/302</t>
  </si>
  <si>
    <t>4/40</t>
  </si>
  <si>
    <t>Deepak Chrungo</t>
  </si>
  <si>
    <t>B10/303</t>
  </si>
  <si>
    <t>4/41</t>
  </si>
  <si>
    <t>Amandeep Singh</t>
  </si>
  <si>
    <t>B10/304</t>
  </si>
  <si>
    <t>4/42</t>
  </si>
  <si>
    <t>Mr.Vinod Kapoor</t>
  </si>
  <si>
    <t>B10/201</t>
  </si>
  <si>
    <t>4/43</t>
  </si>
  <si>
    <t>Gurudev Singh</t>
  </si>
  <si>
    <t>B10/104</t>
  </si>
  <si>
    <t>4/44</t>
  </si>
  <si>
    <t>Vinay Dutt tiwari</t>
  </si>
  <si>
    <t>B14/GF03</t>
  </si>
  <si>
    <t>4/45</t>
  </si>
  <si>
    <t>Pardeep</t>
  </si>
  <si>
    <t>B11/601</t>
  </si>
  <si>
    <t>4/46</t>
  </si>
  <si>
    <t>Mr Sodhi</t>
  </si>
  <si>
    <t>B11/602</t>
  </si>
  <si>
    <t>4/47</t>
  </si>
  <si>
    <t>Ravi Prabhakar</t>
  </si>
  <si>
    <t>4/48</t>
  </si>
  <si>
    <t>Sandeep Mohan</t>
  </si>
  <si>
    <t>B11/502</t>
  </si>
  <si>
    <t>4/49</t>
  </si>
  <si>
    <t>Navin(Ridhi Sidhi)</t>
  </si>
  <si>
    <t>B11/401</t>
  </si>
  <si>
    <t>4/50</t>
  </si>
  <si>
    <t>Gaurav Kalra</t>
  </si>
  <si>
    <t>9780142880/9988950408</t>
  </si>
  <si>
    <t>A1/PH01</t>
  </si>
  <si>
    <t>Mrs.Chitra</t>
  </si>
  <si>
    <t>9888606607/ 9041181121</t>
  </si>
  <si>
    <t>A1/302</t>
  </si>
  <si>
    <t>Richa Nangia</t>
  </si>
  <si>
    <t>Mr.Kushal Arora</t>
  </si>
  <si>
    <t>A3/204</t>
  </si>
  <si>
    <t>Mr. Shergil</t>
  </si>
  <si>
    <t>Haray</t>
  </si>
  <si>
    <t>A4/Gf01</t>
  </si>
  <si>
    <t>Ms.Indu Malhotra</t>
  </si>
  <si>
    <t>A4/PH04</t>
  </si>
  <si>
    <t>Mr.SomNath</t>
  </si>
  <si>
    <t>A4/Ph02</t>
  </si>
  <si>
    <t>Mr.Tarun</t>
  </si>
  <si>
    <t>A4/PH03</t>
  </si>
  <si>
    <t>A4-203</t>
  </si>
  <si>
    <t>Rohtas (Vegetable Vendor)</t>
  </si>
  <si>
    <t>7/13</t>
  </si>
  <si>
    <t>Aditya &amp; Vidita</t>
  </si>
  <si>
    <t>7/14</t>
  </si>
  <si>
    <t>Kailash Bansal</t>
  </si>
  <si>
    <t>5/13</t>
  </si>
  <si>
    <t>Asmi Munjal</t>
  </si>
  <si>
    <t>C3/210</t>
  </si>
  <si>
    <t>C2/403</t>
  </si>
  <si>
    <t>Shalu Sahni</t>
  </si>
  <si>
    <t>C2/208</t>
  </si>
  <si>
    <t>Vaibhav Gupta</t>
  </si>
  <si>
    <t>Ajit Carpenter</t>
  </si>
  <si>
    <t>C2/501</t>
  </si>
  <si>
    <t>Raman Sood</t>
  </si>
  <si>
    <t>Aayan</t>
  </si>
  <si>
    <t>C2/112</t>
  </si>
  <si>
    <t>Ramesh Khurdi</t>
  </si>
  <si>
    <t>C3/GF5</t>
  </si>
  <si>
    <t>Satish Kumar Mehta</t>
  </si>
  <si>
    <t>D Block</t>
  </si>
  <si>
    <t>RB Saxena</t>
  </si>
  <si>
    <t>B8(GF-02)</t>
  </si>
  <si>
    <t>5A/23</t>
  </si>
  <si>
    <t>Mrs. Neelema</t>
  </si>
  <si>
    <t>5A/24</t>
  </si>
  <si>
    <t>Mrs. Seeema Manocha</t>
  </si>
  <si>
    <t>5A/25</t>
  </si>
  <si>
    <t>Mrs.Asha Kapoor</t>
  </si>
  <si>
    <t>5A/26</t>
  </si>
  <si>
    <t>Eeena Choudhary</t>
  </si>
  <si>
    <t>5A/27</t>
  </si>
  <si>
    <t>Neera sharma</t>
  </si>
  <si>
    <t>5A/28</t>
  </si>
  <si>
    <t>Ishan Bajpai</t>
  </si>
  <si>
    <t>5A/29</t>
  </si>
  <si>
    <t>Shubham</t>
  </si>
  <si>
    <t>B14/602</t>
  </si>
  <si>
    <t>5A/30</t>
  </si>
  <si>
    <t>Sarika/Vikas Gupta</t>
  </si>
  <si>
    <t>B14/503</t>
  </si>
  <si>
    <t>5A/30-1</t>
  </si>
  <si>
    <t>Meera Sharma</t>
  </si>
  <si>
    <t>B14/504</t>
  </si>
  <si>
    <t>5A/31</t>
  </si>
  <si>
    <t>Jaiinder Naara</t>
  </si>
  <si>
    <t>B14/404</t>
  </si>
  <si>
    <t>5A/32</t>
  </si>
  <si>
    <t>Subhash Bhardwaj</t>
  </si>
  <si>
    <t>B14/302</t>
  </si>
  <si>
    <t>5A/33</t>
  </si>
  <si>
    <t>B14/303</t>
  </si>
  <si>
    <t>5A/34</t>
  </si>
  <si>
    <t>Vaneet Verma</t>
  </si>
  <si>
    <t>B14/202</t>
  </si>
  <si>
    <t>5A/35</t>
  </si>
  <si>
    <t>Deepali Bhalla</t>
  </si>
  <si>
    <t>B14/402</t>
  </si>
  <si>
    <t>5A/36</t>
  </si>
  <si>
    <t>Ram Rachit</t>
  </si>
  <si>
    <t>B14/GF02</t>
  </si>
  <si>
    <t>5A/37</t>
  </si>
  <si>
    <t>Shivangii</t>
  </si>
  <si>
    <t>B13/GF02</t>
  </si>
  <si>
    <t>5A/38</t>
  </si>
  <si>
    <t>Mehak</t>
  </si>
  <si>
    <t>5A/39</t>
  </si>
  <si>
    <t>Nirmala Bansal</t>
  </si>
  <si>
    <t>B10</t>
  </si>
  <si>
    <t>5A/40</t>
  </si>
  <si>
    <t>Sweety</t>
  </si>
  <si>
    <t>B1/GF03</t>
  </si>
  <si>
    <t>5A/41</t>
  </si>
  <si>
    <t>Saurav Kumar</t>
  </si>
  <si>
    <t>B2/303</t>
  </si>
  <si>
    <t>5A/42</t>
  </si>
  <si>
    <t>Krishan Jain</t>
  </si>
  <si>
    <t>B2/102</t>
  </si>
  <si>
    <t>5A/43</t>
  </si>
  <si>
    <t>Mitalli Bhalla</t>
  </si>
  <si>
    <t>5A/44</t>
  </si>
  <si>
    <t>5A/48</t>
  </si>
  <si>
    <t>11 Cement Bags</t>
  </si>
  <si>
    <t>Sreshtha Gupta</t>
  </si>
  <si>
    <t>98723 59250</t>
  </si>
  <si>
    <t>B3(GF03)</t>
  </si>
  <si>
    <t>5A/47</t>
  </si>
  <si>
    <t>5 Cement bags</t>
  </si>
  <si>
    <t>7/15</t>
  </si>
  <si>
    <t>7/16</t>
  </si>
  <si>
    <t>7/17</t>
  </si>
  <si>
    <t>Jia Diamonds</t>
  </si>
  <si>
    <t>B1/GF-02</t>
  </si>
  <si>
    <t>5A/45</t>
  </si>
  <si>
    <t>Jasleen</t>
  </si>
  <si>
    <t>B12/102</t>
  </si>
  <si>
    <t>5A/46</t>
  </si>
  <si>
    <t>Bimlesh Bansal</t>
  </si>
  <si>
    <t>5/14</t>
  </si>
  <si>
    <t>Anju Bala</t>
  </si>
  <si>
    <t>5/15</t>
  </si>
  <si>
    <t>Neeru Ji</t>
  </si>
  <si>
    <t>5/16</t>
  </si>
  <si>
    <t>Pradeep Tyagi</t>
  </si>
  <si>
    <t>Ghaziyabad</t>
  </si>
  <si>
    <t>5/17</t>
  </si>
  <si>
    <t>C3/310</t>
  </si>
  <si>
    <t>5/18</t>
  </si>
  <si>
    <t>Gupt Daan ( Jai Mata Di)</t>
  </si>
  <si>
    <t>5/19</t>
  </si>
  <si>
    <t>A3-GF2</t>
  </si>
  <si>
    <t>5/20</t>
  </si>
  <si>
    <t>5/21</t>
  </si>
  <si>
    <t>Kaushalya Devi</t>
  </si>
  <si>
    <t>Wazir Singh Virk</t>
  </si>
  <si>
    <t>B14-403</t>
  </si>
  <si>
    <t>Neetu Mishra</t>
  </si>
  <si>
    <t>Vipin Puri (Kirtan Mandli)</t>
  </si>
  <si>
    <t>Sugandhi Parmar</t>
  </si>
  <si>
    <t>B9/GF01</t>
  </si>
  <si>
    <t>Nishi Jaiswal</t>
  </si>
  <si>
    <t>Poonam Vohra</t>
  </si>
  <si>
    <t>Silver City (109)</t>
  </si>
  <si>
    <t>Raksha Vohra</t>
  </si>
  <si>
    <t>Shusma</t>
  </si>
  <si>
    <t>Silver City 523</t>
  </si>
  <si>
    <t>Suresh Kumar Saddi</t>
  </si>
  <si>
    <t>Sarthi Life Sciences</t>
  </si>
  <si>
    <t>Anish Sharma</t>
  </si>
  <si>
    <t>Silver City512</t>
  </si>
  <si>
    <t>Kuldeep Goyal</t>
  </si>
  <si>
    <t>8/13</t>
  </si>
  <si>
    <t>Singla's</t>
  </si>
  <si>
    <t>B4/GF01</t>
  </si>
  <si>
    <t>8/14</t>
  </si>
  <si>
    <t>Meenu Saini</t>
  </si>
  <si>
    <t>B8/303</t>
  </si>
  <si>
    <t>8/15</t>
  </si>
  <si>
    <t>Akita Saini</t>
  </si>
  <si>
    <t>8/16</t>
  </si>
  <si>
    <t xml:space="preserve">Gagab Koachar </t>
  </si>
  <si>
    <t>La Parisma</t>
  </si>
  <si>
    <t>8/17</t>
  </si>
  <si>
    <t>Raju</t>
  </si>
  <si>
    <t>8/18</t>
  </si>
  <si>
    <t>Mr. Chauhan</t>
  </si>
  <si>
    <t>B12/104</t>
  </si>
  <si>
    <t>7/18</t>
  </si>
  <si>
    <t>Mr.Vicky</t>
  </si>
  <si>
    <t>7/19</t>
  </si>
  <si>
    <t>Mr.Marwah</t>
  </si>
  <si>
    <t>B12-502</t>
  </si>
  <si>
    <t>7/20</t>
  </si>
  <si>
    <t>Mr.Brahan Swarup</t>
  </si>
  <si>
    <t>7/21</t>
  </si>
  <si>
    <t>7/22</t>
  </si>
  <si>
    <t>Mr. Bijender Chikara</t>
  </si>
  <si>
    <t>7/23</t>
  </si>
  <si>
    <t>A1/204</t>
  </si>
  <si>
    <t>7/24</t>
  </si>
  <si>
    <t>Gupt Daan (Mr.Brij Mahajan)</t>
  </si>
  <si>
    <t>7/25</t>
  </si>
  <si>
    <t>Mr.Parkash Chand</t>
  </si>
  <si>
    <t>7/26</t>
  </si>
  <si>
    <t>C3/GF08</t>
  </si>
  <si>
    <t>5/22</t>
  </si>
  <si>
    <t>Rakshit</t>
  </si>
  <si>
    <t>C3/GF07</t>
  </si>
  <si>
    <t>5/23</t>
  </si>
  <si>
    <t>Navdeep Bharti Goyal</t>
  </si>
  <si>
    <t>5/24</t>
  </si>
  <si>
    <t>5/25</t>
  </si>
  <si>
    <t>Pulkit Gupta</t>
  </si>
  <si>
    <t>C2-411</t>
  </si>
  <si>
    <t>5/26</t>
  </si>
  <si>
    <t>Sumit Jain</t>
  </si>
  <si>
    <t>C2-206</t>
  </si>
  <si>
    <t>5/27</t>
  </si>
  <si>
    <t>Ajay Manocha</t>
  </si>
  <si>
    <t>Silver City (502)</t>
  </si>
  <si>
    <t>5/28</t>
  </si>
  <si>
    <t>Aditya &amp; Sachin</t>
  </si>
  <si>
    <t>5/29</t>
  </si>
  <si>
    <t>Shubham Sharma</t>
  </si>
  <si>
    <t>5/30</t>
  </si>
  <si>
    <t>Amit Vats Brother in Law</t>
  </si>
  <si>
    <t>5/31</t>
  </si>
  <si>
    <t>Navish Moudil</t>
  </si>
  <si>
    <t>C3/GF09</t>
  </si>
  <si>
    <t>5/32</t>
  </si>
  <si>
    <t>Anjana</t>
  </si>
  <si>
    <t>5/33</t>
  </si>
  <si>
    <t>Neeraj dutta</t>
  </si>
  <si>
    <t>5/34</t>
  </si>
  <si>
    <t>5/35</t>
  </si>
  <si>
    <t>Aditya Tiku</t>
  </si>
  <si>
    <t>5/36</t>
  </si>
  <si>
    <t>Suman Lata</t>
  </si>
  <si>
    <t>B9/203</t>
  </si>
  <si>
    <t>5/37</t>
  </si>
  <si>
    <t>Anjali Sharma</t>
  </si>
  <si>
    <t>B13/201</t>
  </si>
  <si>
    <t>Ravinder Pal Ji</t>
  </si>
  <si>
    <t>D2/204</t>
  </si>
  <si>
    <t>8/19</t>
  </si>
  <si>
    <t>Neeru Kapoor</t>
  </si>
  <si>
    <t>A3/103</t>
  </si>
  <si>
    <t>8/20</t>
  </si>
  <si>
    <t>Priyam</t>
  </si>
  <si>
    <t>B5</t>
  </si>
  <si>
    <t>8/21</t>
  </si>
  <si>
    <t>Sushma Gupta</t>
  </si>
  <si>
    <t>8/22</t>
  </si>
  <si>
    <t>Mr.Bansal</t>
  </si>
  <si>
    <t>8/23</t>
  </si>
  <si>
    <t>Mrs.Kala</t>
  </si>
  <si>
    <t>B9/103</t>
  </si>
  <si>
    <t>8/23-1</t>
  </si>
  <si>
    <t>Mohan Lal</t>
  </si>
  <si>
    <t>8/24</t>
  </si>
  <si>
    <t>Gopal Krishan</t>
  </si>
  <si>
    <t>8/25</t>
  </si>
  <si>
    <t>Dr.Samir Anand</t>
  </si>
  <si>
    <t>8/26</t>
  </si>
  <si>
    <t>Champa Khandwal</t>
  </si>
  <si>
    <t>8/27</t>
  </si>
  <si>
    <t>Susheel Khanar</t>
  </si>
  <si>
    <t>8/28</t>
  </si>
  <si>
    <t>Sarmishtra</t>
  </si>
  <si>
    <t>8/29</t>
  </si>
  <si>
    <t>8/30</t>
  </si>
  <si>
    <t>Raman Chopra</t>
  </si>
  <si>
    <t>8/31</t>
  </si>
  <si>
    <t>Mr.Rakeh Manvai</t>
  </si>
  <si>
    <t>536, Silver City</t>
  </si>
  <si>
    <t>8/32</t>
  </si>
  <si>
    <t>2 Folding Beds</t>
  </si>
  <si>
    <t>Yogesh &amp; Indu</t>
  </si>
  <si>
    <t>8/33</t>
  </si>
  <si>
    <t>A1/101</t>
  </si>
  <si>
    <t>8/34</t>
  </si>
  <si>
    <t>Vikram Bhardwaj</t>
  </si>
  <si>
    <t>8/35</t>
  </si>
  <si>
    <t>Asha Kiran</t>
  </si>
  <si>
    <t>B12/304</t>
  </si>
  <si>
    <t>8/36</t>
  </si>
  <si>
    <t>Mr.Ekansh garg</t>
  </si>
  <si>
    <t>C2/GF11</t>
  </si>
  <si>
    <t>7/27</t>
  </si>
  <si>
    <t>Sapna kalia</t>
  </si>
  <si>
    <t>548,Silver City</t>
  </si>
  <si>
    <t>7/28</t>
  </si>
  <si>
    <t>7/29</t>
  </si>
  <si>
    <t>Mr.Rajan Garg</t>
  </si>
  <si>
    <t>SDM/201</t>
  </si>
  <si>
    <t>10000- Grill, 11000- Donation</t>
  </si>
  <si>
    <t>Kranti Sareen</t>
  </si>
  <si>
    <t>B4/504</t>
  </si>
  <si>
    <t>SDM/202</t>
  </si>
  <si>
    <t>SDM/501</t>
  </si>
  <si>
    <t>Suresh Saddi</t>
  </si>
  <si>
    <t>29, Silver City</t>
  </si>
  <si>
    <t>SDM/502</t>
  </si>
  <si>
    <t>Aman Singla</t>
  </si>
  <si>
    <t>B6/303</t>
  </si>
  <si>
    <t>SDM/203</t>
  </si>
  <si>
    <t>SDM/503</t>
  </si>
  <si>
    <t>Fateh Singh</t>
  </si>
  <si>
    <t>B4/503</t>
  </si>
  <si>
    <t>SDM/504</t>
  </si>
  <si>
    <t>SDM/205</t>
  </si>
  <si>
    <t>SDM/206</t>
  </si>
  <si>
    <t>Dr.Bhatia</t>
  </si>
  <si>
    <t>SDM/207</t>
  </si>
  <si>
    <t>SDM/208</t>
  </si>
  <si>
    <t>SDM/209</t>
  </si>
  <si>
    <t>SDM/210</t>
  </si>
  <si>
    <t>Sunit</t>
  </si>
  <si>
    <t>1205, Silver City</t>
  </si>
  <si>
    <t>SDM/211</t>
  </si>
  <si>
    <t>SDM/212</t>
  </si>
  <si>
    <t>SDM/213</t>
  </si>
  <si>
    <t>Gaurav Dhal</t>
  </si>
  <si>
    <t>SDM/214</t>
  </si>
  <si>
    <t>Naksh Vij</t>
  </si>
  <si>
    <t>B15/GF02</t>
  </si>
  <si>
    <t>SDM/215</t>
  </si>
  <si>
    <t>SDM/216</t>
  </si>
  <si>
    <t>Baldev Raj</t>
  </si>
  <si>
    <t>SDM/217</t>
  </si>
  <si>
    <t>Pushpa Rani</t>
  </si>
  <si>
    <t>SDM/218</t>
  </si>
  <si>
    <t>Navdeep</t>
  </si>
  <si>
    <t>SDM/219</t>
  </si>
  <si>
    <t>Shuelw</t>
  </si>
  <si>
    <t>SDM/220</t>
  </si>
  <si>
    <t>ShahigRam</t>
  </si>
  <si>
    <t>SDM/221</t>
  </si>
  <si>
    <t>SDM/222</t>
  </si>
  <si>
    <t>Viraj Gupta</t>
  </si>
  <si>
    <t>SDM/223</t>
  </si>
  <si>
    <t>SDM/224</t>
  </si>
  <si>
    <t>Sushma Jain</t>
  </si>
  <si>
    <t>SDM/225</t>
  </si>
  <si>
    <t>Rajendra</t>
  </si>
  <si>
    <t>SDM/226</t>
  </si>
  <si>
    <t>Parbhas</t>
  </si>
  <si>
    <t>SDM/227</t>
  </si>
  <si>
    <t>SDM/228</t>
  </si>
  <si>
    <t>Prakash</t>
  </si>
  <si>
    <t>SDM/229</t>
  </si>
  <si>
    <t>SDM/230</t>
  </si>
  <si>
    <t>Jigyas</t>
  </si>
  <si>
    <t>SDM/231</t>
  </si>
  <si>
    <t>SDM/232</t>
  </si>
  <si>
    <t>KS Kanwar</t>
  </si>
  <si>
    <t>1208,Silver City</t>
  </si>
  <si>
    <t>SDM/233</t>
  </si>
  <si>
    <t>Mahajan</t>
  </si>
  <si>
    <t>SDM/234</t>
  </si>
  <si>
    <t>SDM/235</t>
  </si>
  <si>
    <t>Bhavya</t>
  </si>
  <si>
    <t>SDM/236</t>
  </si>
  <si>
    <t>Alka Devi</t>
  </si>
  <si>
    <t>SDM/237</t>
  </si>
  <si>
    <t>Koshalya Devi</t>
  </si>
  <si>
    <t>SDM/238</t>
  </si>
  <si>
    <t>Hare Krishna</t>
  </si>
  <si>
    <t>SDM/239</t>
  </si>
  <si>
    <t>Love Catering</t>
  </si>
  <si>
    <t>SDM/240</t>
  </si>
  <si>
    <t xml:space="preserve">Anil Tandon </t>
  </si>
  <si>
    <t>B14/GF04</t>
  </si>
  <si>
    <t>SDM/241</t>
  </si>
  <si>
    <t>Daan Patra + Janamashtami Thali</t>
  </si>
  <si>
    <t>SDM/505</t>
  </si>
  <si>
    <t>Khosla Ji</t>
  </si>
  <si>
    <t>SDM/506</t>
  </si>
  <si>
    <t>For Janmashtami Bhandara</t>
  </si>
  <si>
    <t>SDM/507</t>
  </si>
  <si>
    <t>SDM/508</t>
  </si>
  <si>
    <t>SDM/509</t>
  </si>
  <si>
    <t>SDM/510</t>
  </si>
  <si>
    <t>SDM/511</t>
  </si>
  <si>
    <t>SDM/512</t>
  </si>
  <si>
    <t>SDM/513</t>
  </si>
  <si>
    <t>Eshan Nagpal &amp; Ansh Chugh</t>
  </si>
  <si>
    <t>B14/102</t>
  </si>
  <si>
    <t>SDM/301</t>
  </si>
  <si>
    <t>Noor</t>
  </si>
  <si>
    <t>B7</t>
  </si>
  <si>
    <t>SDM/302</t>
  </si>
  <si>
    <t>SDM/303</t>
  </si>
  <si>
    <t>1257/Silver City</t>
  </si>
  <si>
    <t>SDM/304</t>
  </si>
  <si>
    <t>Vipn Puri</t>
  </si>
  <si>
    <t>SDM/305</t>
  </si>
  <si>
    <t>Gagan Kochar</t>
  </si>
  <si>
    <t>SDM/306</t>
  </si>
  <si>
    <t>Navya Gupta Raza</t>
  </si>
  <si>
    <t>SDM/307</t>
  </si>
  <si>
    <t>Sahil Khana</t>
  </si>
  <si>
    <t>B1/202</t>
  </si>
  <si>
    <t>SDM/308</t>
  </si>
  <si>
    <t>Neena Gupta</t>
  </si>
  <si>
    <t>B9/204</t>
  </si>
  <si>
    <t>SDM/309</t>
  </si>
  <si>
    <t>B6</t>
  </si>
  <si>
    <t>SDM/310</t>
  </si>
  <si>
    <t>Sony</t>
  </si>
  <si>
    <t>SDM/311</t>
  </si>
  <si>
    <t>B15</t>
  </si>
  <si>
    <t>SDM/312</t>
  </si>
  <si>
    <t>Mrs. Ashu</t>
  </si>
  <si>
    <t>SDM/204</t>
  </si>
  <si>
    <t>Dr. Ravi Kumar</t>
  </si>
  <si>
    <t>C1/201</t>
  </si>
  <si>
    <t>SDM/101</t>
  </si>
  <si>
    <t>C3/107</t>
  </si>
  <si>
    <t>SDM/2</t>
  </si>
  <si>
    <t>Amit Kumar</t>
  </si>
  <si>
    <t>C3/211</t>
  </si>
  <si>
    <t>SDM/103</t>
  </si>
  <si>
    <t xml:space="preserve">Neelam Dhupar </t>
  </si>
  <si>
    <t>SDM/104</t>
  </si>
  <si>
    <t>S.K Mallik</t>
  </si>
  <si>
    <t>SDM/105</t>
  </si>
  <si>
    <t>Rajinder Press Wala Bhayia</t>
  </si>
  <si>
    <t>SDM/106</t>
  </si>
  <si>
    <t>SDM/107</t>
  </si>
  <si>
    <t>Samuel Kataria ( Sagar's)</t>
  </si>
  <si>
    <t>C2</t>
  </si>
  <si>
    <t>SDM/108</t>
  </si>
  <si>
    <t>Kapoor Family</t>
  </si>
  <si>
    <t>B3/402</t>
  </si>
  <si>
    <t>SDM/1</t>
  </si>
  <si>
    <t>C3/GF7</t>
  </si>
  <si>
    <t>Mr.Pyare Lal</t>
  </si>
  <si>
    <t>Silver City ,544</t>
  </si>
  <si>
    <t>SDM/3</t>
  </si>
  <si>
    <t>Sudesh Mittal</t>
  </si>
  <si>
    <t>SDM/4</t>
  </si>
  <si>
    <t>Mrs Karvna</t>
  </si>
  <si>
    <t>Silver City,544</t>
  </si>
  <si>
    <t>SDM/5</t>
  </si>
  <si>
    <t>Aman Batra</t>
  </si>
  <si>
    <t>B15-304</t>
  </si>
  <si>
    <t>SDM/6</t>
  </si>
  <si>
    <t>JanaK Raj Gupta</t>
  </si>
  <si>
    <t>A4</t>
  </si>
  <si>
    <t>SDM/514</t>
  </si>
  <si>
    <t>Madhav Mittal</t>
  </si>
  <si>
    <t>C1210, Silver City</t>
  </si>
  <si>
    <t>SDM//515</t>
  </si>
  <si>
    <t>Daan patra</t>
  </si>
  <si>
    <t>SDM/9</t>
  </si>
  <si>
    <t>Duplicate in Akhilesh Booklet No SDM/516</t>
  </si>
  <si>
    <t>Sourav Vij</t>
  </si>
  <si>
    <t>Swaraj Engines</t>
  </si>
  <si>
    <t>SDM/522</t>
  </si>
  <si>
    <t>SDM/12</t>
  </si>
  <si>
    <t>Bijaya Kumar</t>
  </si>
  <si>
    <t>SDM/13</t>
  </si>
  <si>
    <t>SDM/14</t>
  </si>
  <si>
    <t>Mr.Ravi Kapoor Ji</t>
  </si>
  <si>
    <t>534, Silver City</t>
  </si>
  <si>
    <t>SDM/15</t>
  </si>
  <si>
    <t xml:space="preserve">Silver City </t>
  </si>
  <si>
    <t>SDM/523</t>
  </si>
  <si>
    <t>Mr. Rupinder Singh</t>
  </si>
  <si>
    <t>B4/103</t>
  </si>
  <si>
    <t>SDM/524</t>
  </si>
  <si>
    <t>Mrs.Pala</t>
  </si>
  <si>
    <t xml:space="preserve">silver City </t>
  </si>
  <si>
    <t>SDM/525</t>
  </si>
  <si>
    <t>For Ankoot</t>
  </si>
  <si>
    <t>Saroj Aunty</t>
  </si>
  <si>
    <t>SDM/526</t>
  </si>
  <si>
    <t>SDM/527</t>
  </si>
  <si>
    <t>Ramesh Gupta Ji</t>
  </si>
  <si>
    <t>C2/304</t>
  </si>
  <si>
    <t>SDM/528</t>
  </si>
  <si>
    <t>Mrs Kiran Bhayana</t>
  </si>
  <si>
    <t>B6/GF</t>
  </si>
  <si>
    <t>SDM/529</t>
  </si>
  <si>
    <t>Dhamija Aunty</t>
  </si>
  <si>
    <t>SDM/530</t>
  </si>
  <si>
    <t>SDM/531</t>
  </si>
  <si>
    <t>Mr.Hasija</t>
  </si>
  <si>
    <t>SDM/532</t>
  </si>
  <si>
    <t>Mr.Pranay</t>
  </si>
  <si>
    <t>SDM/533</t>
  </si>
  <si>
    <t>Mr.Rajesh Dogra</t>
  </si>
  <si>
    <t>B11/103</t>
  </si>
  <si>
    <t>SDM/534</t>
  </si>
  <si>
    <t>SDM/535</t>
  </si>
  <si>
    <t>Shanu Carpenter</t>
  </si>
  <si>
    <t>SDM/536</t>
  </si>
  <si>
    <t>Charu Mahajan</t>
  </si>
  <si>
    <t>C3/319</t>
  </si>
  <si>
    <t>SDM/537</t>
  </si>
  <si>
    <t>Mrs Priyanka Gosani</t>
  </si>
  <si>
    <t>SDM/539</t>
  </si>
  <si>
    <t>No</t>
  </si>
  <si>
    <t>Mr.Gautam Aggarwal</t>
  </si>
  <si>
    <t>A1/301</t>
  </si>
  <si>
    <t>SDM/540</t>
  </si>
  <si>
    <t>SDM/542</t>
  </si>
  <si>
    <t>Puneet Korpal Ji</t>
  </si>
  <si>
    <t>1458, Silver City</t>
  </si>
  <si>
    <t>SDM/543</t>
  </si>
  <si>
    <t>Sonia</t>
  </si>
  <si>
    <t>SDM/16</t>
  </si>
  <si>
    <t>Neetu Sharma</t>
  </si>
  <si>
    <t>SDM/17</t>
  </si>
  <si>
    <t>SDM/18</t>
  </si>
  <si>
    <t>Gopal Malik</t>
  </si>
  <si>
    <t>SDM/401</t>
  </si>
  <si>
    <t>Sunil Tandon Ji</t>
  </si>
  <si>
    <t>B10/204</t>
  </si>
  <si>
    <t>SDM/402</t>
  </si>
  <si>
    <t>Reena/Padam</t>
  </si>
  <si>
    <t>Lowgarh</t>
  </si>
  <si>
    <t>SDM/403</t>
  </si>
  <si>
    <t>Mrs Mala</t>
  </si>
  <si>
    <t>1650, Silver City</t>
  </si>
  <si>
    <t>SDM/404</t>
  </si>
  <si>
    <t>Mrs. Kirti Sharma</t>
  </si>
  <si>
    <t>1355, Silver City</t>
  </si>
  <si>
    <t>SDM/405</t>
  </si>
  <si>
    <t>Mr.Bajaj</t>
  </si>
  <si>
    <t>A1/404</t>
  </si>
  <si>
    <t>SDM/406</t>
  </si>
  <si>
    <t>Parveen Sharma</t>
  </si>
  <si>
    <t>A2/304</t>
  </si>
  <si>
    <t>SDM/407</t>
  </si>
  <si>
    <t>Vaibhav</t>
  </si>
  <si>
    <t>A block</t>
  </si>
  <si>
    <t>SDM/408</t>
  </si>
  <si>
    <t>D block</t>
  </si>
  <si>
    <t>SDM/409</t>
  </si>
  <si>
    <t>Hirat Kamboj</t>
  </si>
  <si>
    <t>SDM/410</t>
  </si>
  <si>
    <t>SDM/411</t>
  </si>
  <si>
    <t>Srishti Khullar</t>
  </si>
  <si>
    <t>C4/303</t>
  </si>
  <si>
    <t>SDM/412</t>
  </si>
  <si>
    <t>Saroj Khullar</t>
  </si>
  <si>
    <t>C2/205</t>
  </si>
  <si>
    <t>SDM/413</t>
  </si>
  <si>
    <t>SDM/414</t>
  </si>
  <si>
    <t>Mr.Vinod</t>
  </si>
  <si>
    <t>SDM/415</t>
  </si>
  <si>
    <t>Kartik Kapoor</t>
  </si>
  <si>
    <t>SDM/416</t>
  </si>
  <si>
    <t>SDM/417</t>
  </si>
  <si>
    <t>SDM/418</t>
  </si>
  <si>
    <t>Hemant Jain</t>
  </si>
  <si>
    <t>1257, Silver City</t>
  </si>
  <si>
    <t>SDM/419</t>
  </si>
  <si>
    <t>Nina Sehgal</t>
  </si>
  <si>
    <t>SDM/420</t>
  </si>
  <si>
    <t>PK Mehta</t>
  </si>
  <si>
    <t>SDM/421</t>
  </si>
  <si>
    <t>VN Sharma/NK Sharma</t>
  </si>
  <si>
    <t>SDM/422</t>
  </si>
  <si>
    <t>Naresh Baweja</t>
  </si>
  <si>
    <t>219, Silver City</t>
  </si>
  <si>
    <t>SDM/423</t>
  </si>
  <si>
    <t>Pardeep Goyal</t>
  </si>
  <si>
    <t>SDM/424</t>
  </si>
  <si>
    <t>Sunita Chauhan</t>
  </si>
  <si>
    <t>SDM/425</t>
  </si>
  <si>
    <t>Ankush Kamboj</t>
  </si>
  <si>
    <t>SDM/426</t>
  </si>
  <si>
    <t>Suneet Kunwar</t>
  </si>
  <si>
    <t>1208, Silver city</t>
  </si>
  <si>
    <t>SDM/427</t>
  </si>
  <si>
    <t>Kaushalya Ravikant</t>
  </si>
  <si>
    <t>SDM/428</t>
  </si>
  <si>
    <t>Hari Ram</t>
  </si>
  <si>
    <t>C3/405</t>
  </si>
  <si>
    <t>SDM/429</t>
  </si>
  <si>
    <t>Saroj Singla</t>
  </si>
  <si>
    <t>SDM/430</t>
  </si>
  <si>
    <t>Rajinder Singh</t>
  </si>
  <si>
    <t>SDM/431</t>
  </si>
  <si>
    <t>Ekam</t>
  </si>
  <si>
    <t>SDM/432</t>
  </si>
  <si>
    <t>Ankit</t>
  </si>
  <si>
    <t>SDM/433</t>
  </si>
  <si>
    <t>Radhika</t>
  </si>
  <si>
    <t>SDM/434</t>
  </si>
  <si>
    <t>Usha Chopra</t>
  </si>
  <si>
    <t>SDM/435</t>
  </si>
  <si>
    <t>Mrigank Sham</t>
  </si>
  <si>
    <t>SDM/436</t>
  </si>
  <si>
    <t>Divyansh Nandi</t>
  </si>
  <si>
    <t>1556 Silver city</t>
  </si>
  <si>
    <t>SDM/437</t>
  </si>
  <si>
    <t>D Nandi</t>
  </si>
  <si>
    <t>1556 Silvercity</t>
  </si>
  <si>
    <t>SDM/438</t>
  </si>
  <si>
    <t>Sumit Bhatiya</t>
  </si>
  <si>
    <t>c2/402</t>
  </si>
  <si>
    <t>SDM/439</t>
  </si>
  <si>
    <t>Geeta</t>
  </si>
  <si>
    <t>SDM/440</t>
  </si>
  <si>
    <t>Lalit Kumar</t>
  </si>
  <si>
    <t>B3/102</t>
  </si>
  <si>
    <t>SDM/441</t>
  </si>
  <si>
    <t>Nikhil Dhamija</t>
  </si>
  <si>
    <t>B13/103</t>
  </si>
  <si>
    <t>SDM/442</t>
  </si>
  <si>
    <t>Parvesh</t>
  </si>
  <si>
    <t>SDM/443</t>
  </si>
  <si>
    <t>Col Ashok Kumar</t>
  </si>
  <si>
    <t>A2/401</t>
  </si>
  <si>
    <t>SDM/444</t>
  </si>
  <si>
    <t>KK Chawla</t>
  </si>
  <si>
    <t>C3/105</t>
  </si>
  <si>
    <t>SDM/445</t>
  </si>
  <si>
    <t>Karan Singh</t>
  </si>
  <si>
    <t>C2/201</t>
  </si>
  <si>
    <t>SDM/446</t>
  </si>
  <si>
    <t xml:space="preserve">Sunil </t>
  </si>
  <si>
    <t>B1/103</t>
  </si>
  <si>
    <t>SDM/447</t>
  </si>
  <si>
    <t>Ashok Sethi</t>
  </si>
  <si>
    <t>SDM/448</t>
  </si>
  <si>
    <t>Naresh Kumar</t>
  </si>
  <si>
    <t>SDM/449</t>
  </si>
  <si>
    <t>Arsh Aggarwal</t>
  </si>
  <si>
    <t>SDM/450</t>
  </si>
  <si>
    <t>Laxmi Rupal</t>
  </si>
  <si>
    <t>b3/201</t>
  </si>
  <si>
    <t>SDM/451</t>
  </si>
  <si>
    <t>Lavya</t>
  </si>
  <si>
    <t>c2/507</t>
  </si>
  <si>
    <t>SDM/452</t>
  </si>
  <si>
    <t>Bharat Bhushan Sethi</t>
  </si>
  <si>
    <t>c4/501</t>
  </si>
  <si>
    <t>SDM/453</t>
  </si>
  <si>
    <t>Rakshat Sharma</t>
  </si>
  <si>
    <t>b10/103</t>
  </si>
  <si>
    <t>SDM/454</t>
  </si>
  <si>
    <t>SDM/455</t>
  </si>
  <si>
    <t>Radhe Radhe</t>
  </si>
  <si>
    <t>SDM/456</t>
  </si>
  <si>
    <t>Mr.Ramesh Rastogi</t>
  </si>
  <si>
    <t>Surya Towers</t>
  </si>
  <si>
    <t>SDM/457</t>
  </si>
  <si>
    <t>Ashu Khushwaha</t>
  </si>
  <si>
    <t>B7/501</t>
  </si>
  <si>
    <t>SDM/458</t>
  </si>
  <si>
    <t>MLA Kuljeet Singh Randhawa</t>
  </si>
  <si>
    <t>SDM/459</t>
  </si>
  <si>
    <t>SDM/460</t>
  </si>
  <si>
    <t>Deepal Bhatia</t>
  </si>
  <si>
    <t>SDM/461</t>
  </si>
  <si>
    <t>Rajesh Verma</t>
  </si>
  <si>
    <t>B9/GF04</t>
  </si>
  <si>
    <t>SDM/462</t>
  </si>
  <si>
    <t>Kailash Kalra</t>
  </si>
  <si>
    <t>SDM/463</t>
  </si>
  <si>
    <t>PK Jain</t>
  </si>
  <si>
    <t>SDM/464</t>
  </si>
  <si>
    <t>Raj Kumar</t>
  </si>
  <si>
    <t>SDM/465</t>
  </si>
  <si>
    <t>Puneet Aggarwal</t>
  </si>
  <si>
    <t>SDM/466</t>
  </si>
  <si>
    <t>SDM/467</t>
  </si>
  <si>
    <t>SDM/468</t>
  </si>
  <si>
    <t>Reshma Ji</t>
  </si>
  <si>
    <t>SDM/469</t>
  </si>
  <si>
    <t>SDM/470</t>
  </si>
  <si>
    <t>SDM/471</t>
  </si>
  <si>
    <t>Cancelled Slip/Duplicate Slip with SDM/416</t>
  </si>
  <si>
    <t>SDM/472</t>
  </si>
  <si>
    <t>Repinder Ji</t>
  </si>
  <si>
    <t>SDM/473</t>
  </si>
  <si>
    <t>SDM/474</t>
  </si>
  <si>
    <t>Radha Goyal</t>
  </si>
  <si>
    <t>B6/NCT</t>
  </si>
  <si>
    <t>SDM/313</t>
  </si>
  <si>
    <t>Naresh Monga</t>
  </si>
  <si>
    <t>B8/604</t>
  </si>
  <si>
    <t>SDM/314</t>
  </si>
  <si>
    <t>Shikha Goyal</t>
  </si>
  <si>
    <t>SDM/315</t>
  </si>
  <si>
    <t>B8/GF02</t>
  </si>
  <si>
    <t>SDM/316</t>
  </si>
  <si>
    <t>Parveen Khullar</t>
  </si>
  <si>
    <t>SDM/317</t>
  </si>
  <si>
    <t>Vardaan</t>
  </si>
  <si>
    <t>SDM/318</t>
  </si>
  <si>
    <t>SDM/319</t>
  </si>
  <si>
    <t>Bhawna</t>
  </si>
  <si>
    <t>A Block</t>
  </si>
  <si>
    <t>SDM/320</t>
  </si>
  <si>
    <t>Suman</t>
  </si>
  <si>
    <t>SDM/321</t>
  </si>
  <si>
    <t>Pummy</t>
  </si>
  <si>
    <t>SDM/322</t>
  </si>
  <si>
    <t>Kusum</t>
  </si>
  <si>
    <t>B3/104</t>
  </si>
  <si>
    <t>SDM/323</t>
  </si>
  <si>
    <t>SDM/324</t>
  </si>
  <si>
    <t>SDM/325</t>
  </si>
  <si>
    <t>BR Sharma</t>
  </si>
  <si>
    <t>B10/301</t>
  </si>
  <si>
    <t>SDM/326</t>
  </si>
  <si>
    <t>Alka Garg</t>
  </si>
  <si>
    <t>SDM/327</t>
  </si>
  <si>
    <t>Rahul Bansal</t>
  </si>
  <si>
    <t>SDM/328</t>
  </si>
  <si>
    <t>C3/403</t>
  </si>
  <si>
    <t>SDM/109</t>
  </si>
  <si>
    <t>SDM/110</t>
  </si>
  <si>
    <t>SDM/111</t>
  </si>
  <si>
    <t>SDM/112</t>
  </si>
  <si>
    <t>Mishu</t>
  </si>
  <si>
    <t>C2/409</t>
  </si>
  <si>
    <t>SDM/113</t>
  </si>
  <si>
    <t>SDM/114</t>
  </si>
  <si>
    <t>Neelu</t>
  </si>
  <si>
    <t>C1</t>
  </si>
  <si>
    <t>SDM/115</t>
  </si>
  <si>
    <t>SDM/116</t>
  </si>
  <si>
    <t>Parul</t>
  </si>
  <si>
    <t>SDM/117</t>
  </si>
  <si>
    <t>DakshVats</t>
  </si>
  <si>
    <t>c2/106</t>
  </si>
  <si>
    <t>SDM/544</t>
  </si>
  <si>
    <t>Sudershan Ji</t>
  </si>
  <si>
    <t>b12/401</t>
  </si>
  <si>
    <t>SDM/545</t>
  </si>
  <si>
    <t>Mr.Bhola</t>
  </si>
  <si>
    <t>SDM/547</t>
  </si>
  <si>
    <t>Vikram Arora</t>
  </si>
  <si>
    <t>SDM/548</t>
  </si>
  <si>
    <t>SDM/549</t>
  </si>
  <si>
    <t>Mr.Duggal</t>
  </si>
  <si>
    <t>SDM/550</t>
  </si>
  <si>
    <t>KOmal Kumar</t>
  </si>
  <si>
    <t>SDM/551</t>
  </si>
  <si>
    <t>Mr.Prashant</t>
  </si>
  <si>
    <t>SDM/552</t>
  </si>
  <si>
    <t>SDM/553</t>
  </si>
  <si>
    <t>SDM/554</t>
  </si>
  <si>
    <t>B14/401</t>
  </si>
  <si>
    <t>SDM/555</t>
  </si>
  <si>
    <t>SDM/556</t>
  </si>
  <si>
    <t>SDM/557</t>
  </si>
  <si>
    <t>Pk Jain/SushmaJain</t>
  </si>
  <si>
    <t>B12/gf04</t>
  </si>
  <si>
    <t>SDM/558</t>
  </si>
  <si>
    <t>For Grill</t>
  </si>
  <si>
    <t>Subhash Arora</t>
  </si>
  <si>
    <t>B12/301</t>
  </si>
  <si>
    <t>SDM/559</t>
  </si>
  <si>
    <t>Gamya</t>
  </si>
  <si>
    <t>SDM/560</t>
  </si>
  <si>
    <t>Thakur Family</t>
  </si>
  <si>
    <t>SDM/561</t>
  </si>
  <si>
    <t>Javinder Kaur Ji</t>
  </si>
  <si>
    <t>SDM/562</t>
  </si>
  <si>
    <t>Amita ji</t>
  </si>
  <si>
    <t>SDM/563</t>
  </si>
  <si>
    <t>Silver City Towers Kirtan Group</t>
  </si>
  <si>
    <t>SDM/564</t>
  </si>
  <si>
    <t>Rajinder Mehta</t>
  </si>
  <si>
    <t>B6/403</t>
  </si>
  <si>
    <t>SDM/565</t>
  </si>
  <si>
    <t>SDM/566</t>
  </si>
  <si>
    <t>SDM/567</t>
  </si>
  <si>
    <t>For Bhandara</t>
  </si>
  <si>
    <t>SDM/568</t>
  </si>
  <si>
    <t>SDM/569</t>
  </si>
  <si>
    <t>Ansh Singla</t>
  </si>
  <si>
    <t>SDM/570</t>
  </si>
  <si>
    <t>Surjit singh</t>
  </si>
  <si>
    <t>B9/101</t>
  </si>
  <si>
    <t>SDM/571</t>
  </si>
  <si>
    <t>Neeru Suri</t>
  </si>
  <si>
    <t>SDM/572</t>
  </si>
  <si>
    <t>ForTulsi Mata Gamla</t>
  </si>
  <si>
    <t>Arun Garg</t>
  </si>
  <si>
    <t>SDM/573</t>
  </si>
  <si>
    <t>SDM/574</t>
  </si>
  <si>
    <t>Himanshu</t>
  </si>
  <si>
    <t>SDM/575</t>
  </si>
  <si>
    <t>Richa</t>
  </si>
  <si>
    <t>B3/204</t>
  </si>
  <si>
    <t>SDM/576</t>
  </si>
  <si>
    <t>Supreme</t>
  </si>
  <si>
    <t>B1104</t>
  </si>
  <si>
    <t>SDM/577</t>
  </si>
  <si>
    <t>Kuldeep Chand</t>
  </si>
  <si>
    <t>B2/101</t>
  </si>
  <si>
    <t>SDM/578</t>
  </si>
  <si>
    <t>SDM/579</t>
  </si>
  <si>
    <t>Sakshi Khullar</t>
  </si>
  <si>
    <t>SDM/580</t>
  </si>
  <si>
    <t>Shivratri</t>
  </si>
  <si>
    <t>Ramesh Gupta</t>
  </si>
  <si>
    <t>SDM/581</t>
  </si>
  <si>
    <t>SDM/582</t>
  </si>
  <si>
    <t>Prashant Mittal Ji</t>
  </si>
  <si>
    <t>SDM/583</t>
  </si>
  <si>
    <t>Anshika Rajolia</t>
  </si>
  <si>
    <t>SDM/584</t>
  </si>
  <si>
    <t>Shubhum</t>
  </si>
  <si>
    <t>SDM/585</t>
  </si>
  <si>
    <t>Shikha</t>
  </si>
  <si>
    <t>SDM/586</t>
  </si>
  <si>
    <t>Gulshan Kumar</t>
  </si>
  <si>
    <t>1060/Silvercity</t>
  </si>
  <si>
    <t>SDM/587</t>
  </si>
  <si>
    <t>SDM/588</t>
  </si>
  <si>
    <t>SDM/589</t>
  </si>
  <si>
    <t>Kanwaljit Kanwar</t>
  </si>
  <si>
    <t>SDM/590</t>
  </si>
  <si>
    <t>Suneet</t>
  </si>
  <si>
    <t>1208, Silver City</t>
  </si>
  <si>
    <t>SDM/591</t>
  </si>
  <si>
    <t>Anju singh</t>
  </si>
  <si>
    <t>SDM/592</t>
  </si>
  <si>
    <t xml:space="preserve">Gupt Daan </t>
  </si>
  <si>
    <t>SDM/593</t>
  </si>
  <si>
    <t>Ravi Sharma Ji</t>
  </si>
  <si>
    <t>SDM/594</t>
  </si>
  <si>
    <t>Jaidkar Ji</t>
  </si>
  <si>
    <t>535, Silver City</t>
  </si>
  <si>
    <t>SDM/595</t>
  </si>
  <si>
    <t>SDM/596</t>
  </si>
  <si>
    <t>SDM/597</t>
  </si>
  <si>
    <t>Tandon Uncle</t>
  </si>
  <si>
    <t>SDM/598</t>
  </si>
  <si>
    <t>Gupt daan</t>
  </si>
  <si>
    <t>SDM/599</t>
  </si>
  <si>
    <t>SDM/600</t>
  </si>
  <si>
    <t>Akshay</t>
  </si>
  <si>
    <t>SDM/329</t>
  </si>
  <si>
    <t>SDM/330</t>
  </si>
  <si>
    <t>Ajay kumar</t>
  </si>
  <si>
    <t>SDM/331</t>
  </si>
  <si>
    <t>SDM/332</t>
  </si>
  <si>
    <t>SDM/333</t>
  </si>
  <si>
    <t>Suraj Bhani</t>
  </si>
  <si>
    <t>SDM/334</t>
  </si>
  <si>
    <t>Ashok Ji</t>
  </si>
  <si>
    <t>SDM/335</t>
  </si>
  <si>
    <t>Rajan Arora</t>
  </si>
  <si>
    <t>SDM/336</t>
  </si>
  <si>
    <t>Suresh Chanda</t>
  </si>
  <si>
    <t>SDM/337</t>
  </si>
  <si>
    <t>SDM/338</t>
  </si>
  <si>
    <t>SDM/339</t>
  </si>
  <si>
    <t>Kiran Kochai</t>
  </si>
  <si>
    <t>SDM/340</t>
  </si>
  <si>
    <t>Rajiv Goyal</t>
  </si>
  <si>
    <t>SDM/341</t>
  </si>
  <si>
    <t>Romit</t>
  </si>
  <si>
    <t>SDM/342</t>
  </si>
  <si>
    <t>SDM/343</t>
  </si>
  <si>
    <t>Sushil</t>
  </si>
  <si>
    <t>SDM/344</t>
  </si>
  <si>
    <t>Simran</t>
  </si>
  <si>
    <t>SDM/345</t>
  </si>
  <si>
    <t>Aaradhya &amp;Akshit</t>
  </si>
  <si>
    <t>SDM/346</t>
  </si>
  <si>
    <t>Vidita</t>
  </si>
  <si>
    <t>SDM/347</t>
  </si>
  <si>
    <t>SDM/348</t>
  </si>
  <si>
    <t>Hardik</t>
  </si>
  <si>
    <t>SDM/349</t>
  </si>
  <si>
    <t>Amit Sharma</t>
  </si>
  <si>
    <t>SDM/350</t>
  </si>
  <si>
    <t>Shaligram</t>
  </si>
  <si>
    <t>SDM/351</t>
  </si>
  <si>
    <t>Pt. Harshita</t>
  </si>
  <si>
    <t>SDM/352</t>
  </si>
  <si>
    <t>Arun Garag</t>
  </si>
  <si>
    <t>SDM/353</t>
  </si>
  <si>
    <t>SDM/354</t>
  </si>
  <si>
    <t>Heerat</t>
  </si>
  <si>
    <t>SDM/355</t>
  </si>
  <si>
    <t>SDM/356</t>
  </si>
  <si>
    <t>SDM/357</t>
  </si>
  <si>
    <t>SDM/358</t>
  </si>
  <si>
    <t>SDM/359</t>
  </si>
  <si>
    <t>SDM/360</t>
  </si>
  <si>
    <t>Abhishek Pandey</t>
  </si>
  <si>
    <t>SDM/361</t>
  </si>
  <si>
    <t>SDM/362</t>
  </si>
  <si>
    <t>Dr.Reena</t>
  </si>
  <si>
    <t>SDM/363</t>
  </si>
  <si>
    <t>Pranay ji</t>
  </si>
  <si>
    <t>SDM/364</t>
  </si>
  <si>
    <t>SDM/365</t>
  </si>
  <si>
    <t>Mani</t>
  </si>
  <si>
    <t>SDM/366</t>
  </si>
  <si>
    <t>Suman Rani</t>
  </si>
  <si>
    <t>SDM/367</t>
  </si>
  <si>
    <t>Shally</t>
  </si>
  <si>
    <t>SDM/368</t>
  </si>
  <si>
    <t>Nigam</t>
  </si>
  <si>
    <t>SDM/369</t>
  </si>
  <si>
    <t>Pinky</t>
  </si>
  <si>
    <t>SDM/370</t>
  </si>
  <si>
    <t>Niyansh Garg</t>
  </si>
  <si>
    <t>SDM/371</t>
  </si>
  <si>
    <t>SDM/372</t>
  </si>
  <si>
    <t>Praveen Chowdhary</t>
  </si>
  <si>
    <t>SDM/373</t>
  </si>
  <si>
    <t>Hari Ram &amp; Sons</t>
  </si>
  <si>
    <t>SDM/374</t>
  </si>
  <si>
    <t>Nikhil/Aayansh Dhamija</t>
  </si>
  <si>
    <t>SDM/375</t>
  </si>
  <si>
    <t>Shapentla ji</t>
  </si>
  <si>
    <t>SDM/376</t>
  </si>
  <si>
    <t>Poonam Jain</t>
  </si>
  <si>
    <t>SDM/377</t>
  </si>
  <si>
    <t>Prajwal Jain</t>
  </si>
  <si>
    <t>SDM/378</t>
  </si>
  <si>
    <t>SDM/379</t>
  </si>
  <si>
    <t>SDM/380</t>
  </si>
  <si>
    <t>SDM/381</t>
  </si>
  <si>
    <t>SDM/382</t>
  </si>
  <si>
    <t>SDM/383</t>
  </si>
  <si>
    <t>Anil ji</t>
  </si>
  <si>
    <t>SDM/384</t>
  </si>
  <si>
    <t>Dilmeet Maan</t>
  </si>
  <si>
    <t>SDM/385</t>
  </si>
  <si>
    <t>SDM/386</t>
  </si>
  <si>
    <t>SDM/387</t>
  </si>
  <si>
    <t>Satish</t>
  </si>
  <si>
    <t>SDM/388</t>
  </si>
  <si>
    <t>SDM/389</t>
  </si>
  <si>
    <t>SDM/390</t>
  </si>
  <si>
    <t>Arjun</t>
  </si>
  <si>
    <t>SDM/391</t>
  </si>
  <si>
    <t>SDM/392</t>
  </si>
  <si>
    <t>Gurpital Harnoon</t>
  </si>
  <si>
    <t>SDM/393</t>
  </si>
  <si>
    <t>Bansal Saheb</t>
  </si>
  <si>
    <t>SDM/394</t>
  </si>
  <si>
    <t>Jiyansh/ Harshita</t>
  </si>
  <si>
    <t>SDM/395</t>
  </si>
  <si>
    <t>Lt. Gyatari Devi</t>
  </si>
  <si>
    <t>SDM/396</t>
  </si>
  <si>
    <t>Sh. Balram ji</t>
  </si>
  <si>
    <t>SDM/397</t>
  </si>
  <si>
    <t>Rishi Gupta</t>
  </si>
  <si>
    <t>SDM/398</t>
  </si>
  <si>
    <t>Chikara Ji</t>
  </si>
  <si>
    <t>SDM/399</t>
  </si>
  <si>
    <t>Sunita Naryal</t>
  </si>
  <si>
    <t>SDM/400</t>
  </si>
  <si>
    <t>SDM/118</t>
  </si>
  <si>
    <t>Vikram</t>
  </si>
  <si>
    <t>SDM/119</t>
  </si>
  <si>
    <t>Venkteshwar Pandey</t>
  </si>
  <si>
    <t>SDM/120</t>
  </si>
  <si>
    <t>SDM/121</t>
  </si>
  <si>
    <t>SDM/122</t>
  </si>
  <si>
    <t>SDM/123</t>
  </si>
  <si>
    <t>SDM/124</t>
  </si>
  <si>
    <t>SDM/125</t>
  </si>
  <si>
    <t>SDM/126</t>
  </si>
  <si>
    <t>Anil Kumar Sethi</t>
  </si>
  <si>
    <t>SDM/127</t>
  </si>
  <si>
    <t>Atul</t>
  </si>
  <si>
    <t>SDM/128</t>
  </si>
  <si>
    <t>SDM/129</t>
  </si>
  <si>
    <t>Girish Sharma</t>
  </si>
  <si>
    <t>SDM/130</t>
  </si>
  <si>
    <t>Hemant</t>
  </si>
  <si>
    <t>SDM/131</t>
  </si>
  <si>
    <t>SDM/132</t>
  </si>
  <si>
    <t>SDM/133</t>
  </si>
  <si>
    <t>Rama Rani</t>
  </si>
  <si>
    <t>SDM/134</t>
  </si>
  <si>
    <t>SDM/135</t>
  </si>
  <si>
    <t>JMA Joshi</t>
  </si>
  <si>
    <t>SDM/136</t>
  </si>
  <si>
    <t>Ramesh Kumar</t>
  </si>
  <si>
    <t>SDM/137</t>
  </si>
  <si>
    <t>Dinesh Bhard</t>
  </si>
  <si>
    <t>SDM/138</t>
  </si>
  <si>
    <t>Arnav</t>
  </si>
  <si>
    <t>SDM/139</t>
  </si>
  <si>
    <t>SDM/140</t>
  </si>
  <si>
    <t>SDM/141</t>
  </si>
  <si>
    <t>Aditya Tikku</t>
  </si>
  <si>
    <t>SDM/142</t>
  </si>
  <si>
    <t>Diksha</t>
  </si>
  <si>
    <t>SDM/143</t>
  </si>
  <si>
    <t>Prteek</t>
  </si>
  <si>
    <t>SDM/144</t>
  </si>
  <si>
    <t>Anju</t>
  </si>
  <si>
    <t>SDM/145</t>
  </si>
  <si>
    <t>Lavya &amp; Himarya</t>
  </si>
  <si>
    <t>SDM/146</t>
  </si>
  <si>
    <t>SDM/147</t>
  </si>
  <si>
    <t>Lokesh Gupta</t>
  </si>
  <si>
    <t>SDM/148</t>
  </si>
  <si>
    <t>Pranit</t>
  </si>
  <si>
    <t>SDM/149</t>
  </si>
  <si>
    <t>Narinder Sharma</t>
  </si>
  <si>
    <t>SDM/150</t>
  </si>
  <si>
    <t>Jitender</t>
  </si>
  <si>
    <t>SDM/151</t>
  </si>
  <si>
    <t>Rupinder ji</t>
  </si>
  <si>
    <t>SDM/152</t>
  </si>
  <si>
    <t>SDM/153</t>
  </si>
  <si>
    <t>SDM/154</t>
  </si>
  <si>
    <t>SDM/155</t>
  </si>
  <si>
    <t>Sanjeev Jain</t>
  </si>
  <si>
    <t>SDM/156</t>
  </si>
  <si>
    <t>Lavanya &amp; Gamya</t>
  </si>
  <si>
    <t>SDM/157</t>
  </si>
  <si>
    <t>Tarsem Cal</t>
  </si>
  <si>
    <t>SDM/158</t>
  </si>
  <si>
    <t>Kanika</t>
  </si>
  <si>
    <t>SDM/159</t>
  </si>
  <si>
    <t>Arohi/Maanya</t>
  </si>
  <si>
    <t>SDM/160</t>
  </si>
  <si>
    <t>Arushi</t>
  </si>
  <si>
    <t>SDM/161</t>
  </si>
  <si>
    <t>SDM/162</t>
  </si>
  <si>
    <t>Vishal</t>
  </si>
  <si>
    <t>SDM/163</t>
  </si>
  <si>
    <t>Tushar</t>
  </si>
  <si>
    <t>SDM/164</t>
  </si>
  <si>
    <t>Puri Aunty</t>
  </si>
  <si>
    <t>SDM/165</t>
  </si>
  <si>
    <t>SDM/166</t>
  </si>
  <si>
    <t>SDM/167</t>
  </si>
  <si>
    <t>SDM/168</t>
  </si>
  <si>
    <t>Ajay</t>
  </si>
  <si>
    <t>B1/402</t>
  </si>
  <si>
    <t>SDM/169</t>
  </si>
  <si>
    <t>Daan Patra - 19 Jan 2026 - 14 Feb 2026</t>
  </si>
  <si>
    <t>SDM/170</t>
  </si>
  <si>
    <t>Daan Patra - Shiv Ratri</t>
  </si>
  <si>
    <t>SDM/171</t>
  </si>
  <si>
    <t>Dharam Samati Samelan</t>
  </si>
  <si>
    <t>SDM/172</t>
  </si>
  <si>
    <t>Aakas Tripathi</t>
  </si>
  <si>
    <t>C2/103</t>
  </si>
  <si>
    <t>SDM/173</t>
  </si>
  <si>
    <t>SDM/174</t>
  </si>
  <si>
    <t>Ankita &amp; Harry</t>
  </si>
  <si>
    <t>525, Silver City</t>
  </si>
  <si>
    <t>SDM/175</t>
  </si>
  <si>
    <t>Jai Mata Di( L R Jhangra)</t>
  </si>
  <si>
    <t>B14/103</t>
  </si>
  <si>
    <t>SDM/176</t>
  </si>
  <si>
    <t xml:space="preserve">Rajinder Mehta </t>
  </si>
  <si>
    <t>SDM/177</t>
  </si>
  <si>
    <t>SDM/178</t>
  </si>
  <si>
    <t>Tandon Aunty</t>
  </si>
  <si>
    <t>B14/04</t>
  </si>
  <si>
    <t>SDM/179</t>
  </si>
  <si>
    <t>SDM/180</t>
  </si>
  <si>
    <t>SDM/181</t>
  </si>
  <si>
    <t>SDM/182</t>
  </si>
  <si>
    <t>Miraya/Rajan Goyal</t>
  </si>
  <si>
    <t>SDM/183</t>
  </si>
  <si>
    <t>SDM/184</t>
  </si>
  <si>
    <t>Kanchan Kapoor</t>
  </si>
  <si>
    <t>SDM/185</t>
  </si>
  <si>
    <t>SDM/186</t>
  </si>
  <si>
    <t>Kabir</t>
  </si>
  <si>
    <t>C2/203</t>
  </si>
  <si>
    <t>SDM/187</t>
  </si>
  <si>
    <t>Nitin Kalra</t>
  </si>
  <si>
    <t>SDM/188</t>
  </si>
  <si>
    <t>Gupt Daan(Gumnaam)</t>
  </si>
  <si>
    <t>SDM/189</t>
  </si>
  <si>
    <t>Daksh Vats</t>
  </si>
  <si>
    <t>SDM/190</t>
  </si>
  <si>
    <t>SDM/191</t>
  </si>
  <si>
    <t>Vijaya Kapoor</t>
  </si>
  <si>
    <t>SDM/21</t>
  </si>
  <si>
    <t>Daan Patra (18 April 2026)</t>
  </si>
  <si>
    <t>SDM/192</t>
  </si>
  <si>
    <t>Daan Patra (19 April 2026 - 30 May 2026)</t>
  </si>
  <si>
    <t>SDM/193</t>
  </si>
  <si>
    <t>Daan Patra (31 May 2026 - 7th July 2026)</t>
  </si>
  <si>
    <t>SDM/194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</si>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</sst>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 * #,##0_ ;_ * \-#,##0_ ;_ * &quot;-&quot;??_ ;_ @_ "/>
    <numFmt numFmtId="165" formatCode="d/m"/>
    <numFmt numFmtId="166" formatCode="mmmm\ yyyy"/>
    <numFmt numFmtId="167" formatCode="d\ mmm\ yyyy"/>
    <numFmt numFmtId="168" formatCode="d mmmm yyyy"/>
    <numFmt numFmtId="169" formatCode="d mmm yyyy"/>
  </numFmts>
  <fonts count="14">
    <font>
      <sz val="10.0"/>
      <color rgb="FF000000"/>
      <name val="Arial"/>
      <scheme val="minor"/>
    </font>
    <font>
      <sz val="10.0"/>
      <color rgb="FF000000"/>
      <name val="Arial"/>
    </font>
    <font>
      <color theme="1"/>
      <name val="Arial"/>
      <scheme val="minor"/>
    </font>
    <font>
      <b/>
      <sz val="10.0"/>
      <color rgb="FF000000"/>
      <name val="Arial"/>
    </font>
    <font>
      <b/>
      <color rgb="FFFFFFFF"/>
      <name val="Arial"/>
      <scheme val="minor"/>
    </font>
    <font>
      <b/>
      <u/>
      <sz val="10.0"/>
      <color rgb="FFFFFFFF"/>
      <name val="Arial"/>
    </font>
    <font>
      <b/>
      <sz val="10.0"/>
      <color rgb="FFFFFFFF"/>
      <name val="Arial"/>
    </font>
    <font>
      <sz val="10.0"/>
      <color theme="1"/>
      <name val="Arial"/>
    </font>
    <font>
      <sz val="10.0"/>
      <color rgb="FFFFFFFF"/>
      <name val="Arial"/>
    </font>
    <font>
      <b/>
      <color theme="1"/>
      <name val="Arial"/>
      <scheme val="minor"/>
    </font>
    <font>
      <b/>
      <sz val="10.0"/>
      <color theme="1"/>
      <name val="Arial"/>
    </font>
    <font/>
    <font>
      <b/>
      <u/>
      <sz val="10.0"/>
      <color rgb="FF0000FF"/>
      <name val="Arial"/>
    </font>
    <font>
      <u/>
      <sz val="10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3C78D8"/>
        <bgColor rgb="FF3C78D8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9900FF"/>
        <bgColor rgb="FF9900FF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FFFFFF"/>
      </right>
      <bottom style="thin">
        <color rgb="FFA3B2CC"/>
      </bottom>
    </border>
    <border>
      <left style="thin">
        <color rgb="FFFFFFFF"/>
      </left>
      <right style="thin">
        <color rgb="FFFFFFFF"/>
      </right>
      <bottom style="thin">
        <color rgb="FFA3B2CC"/>
      </bottom>
    </border>
    <border>
      <left style="thin">
        <color rgb="FFFFFFFF"/>
      </left>
      <bottom style="thin">
        <color rgb="FFA3B2CC"/>
      </bottom>
    </border>
    <border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top style="thin">
        <color rgb="FFA3B2CC"/>
      </top>
      <bottom style="thin">
        <color rgb="FFA3B2CC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shrinkToFit="0" wrapText="1"/>
    </xf>
    <xf borderId="1" fillId="2" fontId="3" numFmtId="0" xfId="0" applyAlignment="1" applyBorder="1" applyFill="1" applyFont="1">
      <alignment horizontal="center" shrinkToFit="0" vertical="center" wrapText="1"/>
    </xf>
    <xf borderId="1" fillId="0" fontId="1" numFmtId="164" xfId="0" applyAlignment="1" applyBorder="1" applyFont="1" applyNumberFormat="1">
      <alignment shrinkToFit="0" wrapText="1"/>
    </xf>
    <xf borderId="2" fillId="0" fontId="4" numFmtId="0" xfId="0" applyAlignment="1" applyBorder="1" applyFont="1">
      <alignment horizontal="center" readingOrder="0"/>
    </xf>
    <xf borderId="0" fillId="0" fontId="1" numFmtId="0" xfId="0" applyFont="1"/>
    <xf borderId="3" fillId="0" fontId="4" numFmtId="0" xfId="0" applyAlignment="1" applyBorder="1" applyFont="1">
      <alignment horizontal="center" readingOrder="0"/>
    </xf>
    <xf borderId="4" fillId="0" fontId="4" numFmtId="0" xfId="0" applyAlignment="1" applyBorder="1" applyFont="1">
      <alignment horizontal="center" readingOrder="0"/>
    </xf>
    <xf borderId="1" fillId="3" fontId="5" numFmtId="0" xfId="0" applyAlignment="1" applyBorder="1" applyFill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 readingOrder="0"/>
    </xf>
    <xf borderId="1" fillId="0" fontId="1" numFmtId="15" xfId="0" applyAlignment="1" applyBorder="1" applyFont="1" applyNumberFormat="1">
      <alignment horizontal="center" shrinkToFit="0" vertical="center" wrapText="1"/>
    </xf>
    <xf borderId="6" fillId="0" fontId="2" numFmtId="15" xfId="0" applyAlignment="1" applyBorder="1" applyFont="1" applyNumberFormat="1">
      <alignment readingOrder="0"/>
    </xf>
    <xf borderId="1" fillId="3" fontId="6" numFmtId="15" xfId="0" applyAlignment="1" applyBorder="1" applyFont="1" applyNumberFormat="1">
      <alignment horizontal="center" shrinkToFit="0" vertical="center" wrapText="1"/>
    </xf>
    <xf borderId="6" fillId="0" fontId="2" numFmtId="0" xfId="0" applyAlignment="1" applyBorder="1" applyFont="1">
      <alignment readingOrder="0"/>
    </xf>
    <xf borderId="1" fillId="3" fontId="6" numFmtId="0" xfId="0" applyAlignment="1" applyBorder="1" applyFont="1">
      <alignment horizontal="center" shrinkToFit="0" vertical="center" wrapText="1"/>
    </xf>
    <xf borderId="1" fillId="0" fontId="7" numFmtId="15" xfId="0" applyAlignment="1" applyBorder="1" applyFont="1" applyNumberFormat="1">
      <alignment horizontal="center" shrinkToFit="0" vertical="center" wrapText="1"/>
    </xf>
    <xf borderId="7" fillId="0" fontId="2" numFmtId="164" xfId="0" applyAlignment="1" applyBorder="1" applyFont="1" applyNumberFormat="1">
      <alignment readingOrder="0"/>
    </xf>
    <xf borderId="1" fillId="0" fontId="1" numFmtId="164" xfId="0" applyAlignment="1" applyBorder="1" applyFont="1" applyNumberFormat="1">
      <alignment horizontal="center" shrinkToFit="0" vertical="center" wrapText="1"/>
    </xf>
    <xf borderId="0" fillId="0" fontId="2" numFmtId="0" xfId="0" applyFont="1"/>
    <xf borderId="1" fillId="0" fontId="2" numFmtId="0" xfId="0" applyAlignment="1" applyBorder="1" applyFont="1">
      <alignment readingOrder="0" shrinkToFit="0" wrapText="1"/>
    </xf>
    <xf borderId="1" fillId="0" fontId="2" numFmtId="164" xfId="0" applyAlignment="1" applyBorder="1" applyFont="1" applyNumberFormat="1">
      <alignment shrinkToFit="0" wrapText="1"/>
    </xf>
    <xf borderId="0" fillId="0" fontId="1" numFmtId="0" xfId="0" applyAlignment="1" applyFont="1">
      <alignment horizontal="left"/>
    </xf>
    <xf borderId="0" fillId="0" fontId="8" numFmtId="0" xfId="0" applyAlignment="1" applyFont="1">
      <alignment horizontal="center" shrinkToFit="0" vertical="center" wrapText="1"/>
    </xf>
    <xf borderId="0" fillId="0" fontId="1" numFmtId="164" xfId="0" applyFont="1" applyNumberFormat="1"/>
    <xf borderId="1" fillId="0" fontId="7" numFmtId="0" xfId="0" applyAlignment="1" applyBorder="1" applyFont="1">
      <alignment horizontal="center" shrinkToFit="0" vertical="center" wrapText="1"/>
    </xf>
    <xf borderId="1" fillId="0" fontId="7" numFmtId="164" xfId="0" applyAlignment="1" applyBorder="1" applyFont="1" applyNumberFormat="1">
      <alignment horizontal="center" shrinkToFit="0" vertical="center" wrapText="1"/>
    </xf>
    <xf borderId="1" fillId="0" fontId="7" numFmtId="165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1" fillId="0" fontId="9" numFmtId="0" xfId="0" applyAlignment="1" applyBorder="1" applyFont="1">
      <alignment readingOrder="0" shrinkToFit="0" wrapText="1"/>
    </xf>
    <xf borderId="1" fillId="0" fontId="9" numFmtId="0" xfId="0" applyAlignment="1" applyBorder="1" applyFont="1">
      <alignment shrinkToFit="0" wrapText="1"/>
    </xf>
    <xf borderId="1" fillId="0" fontId="9" numFmtId="164" xfId="0" applyAlignment="1" applyBorder="1" applyFont="1" applyNumberFormat="1">
      <alignment shrinkToFit="0" wrapText="1"/>
    </xf>
    <xf borderId="1" fillId="0" fontId="7" numFmtId="0" xfId="0" applyAlignment="1" applyBorder="1" applyFont="1">
      <alignment horizontal="center"/>
    </xf>
    <xf borderId="1" fillId="0" fontId="7" numFmtId="0" xfId="0" applyBorder="1" applyFont="1"/>
    <xf borderId="8" fillId="2" fontId="10" numFmtId="0" xfId="0" applyAlignment="1" applyBorder="1" applyFont="1">
      <alignment horizontal="center"/>
    </xf>
    <xf borderId="9" fillId="0" fontId="11" numFmtId="0" xfId="0" applyBorder="1" applyFont="1"/>
    <xf borderId="10" fillId="0" fontId="11" numFmtId="0" xfId="0" applyBorder="1" applyFont="1"/>
    <xf borderId="8" fillId="4" fontId="10" numFmtId="166" xfId="0" applyAlignment="1" applyBorder="1" applyFill="1" applyFont="1" applyNumberFormat="1">
      <alignment horizontal="center"/>
    </xf>
    <xf borderId="8" fillId="5" fontId="10" numFmtId="166" xfId="0" applyAlignment="1" applyBorder="1" applyFill="1" applyFont="1" applyNumberFormat="1">
      <alignment horizontal="center"/>
    </xf>
    <xf borderId="8" fillId="2" fontId="10" numFmtId="166" xfId="0" applyAlignment="1" applyBorder="1" applyFont="1" applyNumberFormat="1">
      <alignment horizontal="center"/>
    </xf>
    <xf borderId="1" fillId="5" fontId="10" numFmtId="166" xfId="0" applyAlignment="1" applyBorder="1" applyFont="1" applyNumberFormat="1">
      <alignment horizontal="center"/>
    </xf>
    <xf borderId="1" fillId="6" fontId="7" numFmtId="0" xfId="0" applyAlignment="1" applyBorder="1" applyFill="1" applyFont="1">
      <alignment horizontal="center" shrinkToFit="0" vertical="center" wrapText="1"/>
    </xf>
    <xf borderId="1" fillId="0" fontId="12" numFmtId="0" xfId="0" applyAlignment="1" applyBorder="1" applyFont="1">
      <alignment horizontal="center"/>
    </xf>
    <xf borderId="1" fillId="0" fontId="10" numFmtId="0" xfId="0" applyBorder="1" applyFont="1"/>
    <xf borderId="1" fillId="0" fontId="10" numFmtId="0" xfId="0" applyAlignment="1" applyBorder="1" applyFont="1">
      <alignment readingOrder="0"/>
    </xf>
    <xf borderId="1" fillId="0" fontId="10" numFmtId="0" xfId="0" applyAlignment="1" applyBorder="1" applyFont="1">
      <alignment horizontal="center"/>
    </xf>
    <xf borderId="6" fillId="0" fontId="2" numFmtId="0" xfId="0" applyBorder="1" applyFont="1"/>
    <xf borderId="1" fillId="0" fontId="7" numFmtId="0" xfId="0" applyAlignment="1" applyBorder="1" applyFont="1">
      <alignment horizontal="center" vertical="center"/>
    </xf>
    <xf borderId="1" fillId="0" fontId="7" numFmtId="164" xfId="0" applyAlignment="1" applyBorder="1" applyFont="1" applyNumberFormat="1">
      <alignment horizontal="center" vertical="center"/>
    </xf>
    <xf borderId="1" fillId="0" fontId="7" numFmtId="0" xfId="0" applyAlignment="1" applyBorder="1" applyFont="1">
      <alignment horizontal="left" shrinkToFit="0" vertical="center" wrapText="1"/>
    </xf>
    <xf borderId="1" fillId="0" fontId="7" numFmtId="167" xfId="0" applyBorder="1" applyFont="1" applyNumberFormat="1"/>
    <xf borderId="1" fillId="0" fontId="7" numFmtId="0" xfId="0" applyAlignment="1" applyBorder="1" applyFont="1">
      <alignment readingOrder="0"/>
    </xf>
    <xf borderId="1" fillId="0" fontId="7" numFmtId="168" xfId="0" applyAlignment="1" applyBorder="1" applyFont="1" applyNumberFormat="1">
      <alignment readingOrder="0"/>
    </xf>
    <xf borderId="1" fillId="0" fontId="7" numFmtId="15" xfId="0" applyAlignment="1" applyBorder="1" applyFont="1" applyNumberFormat="1">
      <alignment horizontal="center" vertical="center"/>
    </xf>
    <xf borderId="1" fillId="0" fontId="7" numFmtId="0" xfId="0" applyAlignment="1" applyBorder="1" applyFont="1">
      <alignment horizontal="left" readingOrder="0" shrinkToFit="0" vertical="center" wrapText="1"/>
    </xf>
    <xf borderId="0" fillId="0" fontId="7" numFmtId="0" xfId="0" applyFont="1"/>
    <xf borderId="1" fillId="6" fontId="1" numFmtId="0" xfId="0" applyAlignment="1" applyBorder="1" applyFont="1">
      <alignment horizontal="center" shrinkToFit="0" vertical="center" wrapText="1"/>
    </xf>
    <xf borderId="10" fillId="0" fontId="7" numFmtId="0" xfId="0" applyAlignment="1" applyBorder="1" applyFont="1">
      <alignment horizontal="left" shrinkToFit="0" vertical="center" wrapText="1"/>
    </xf>
    <xf borderId="1" fillId="6" fontId="7" numFmtId="164" xfId="0" applyAlignment="1" applyBorder="1" applyFont="1" applyNumberFormat="1">
      <alignment horizontal="center" shrinkToFit="0" vertical="center" wrapText="1"/>
    </xf>
    <xf borderId="5" fillId="0" fontId="2" numFmtId="165" xfId="0" applyAlignment="1" applyBorder="1" applyFont="1" applyNumberFormat="1">
      <alignment horizontal="center" readingOrder="0"/>
    </xf>
    <xf borderId="1" fillId="6" fontId="7" numFmtId="0" xfId="0" applyAlignment="1" applyBorder="1" applyFont="1">
      <alignment horizontal="center" vertical="center"/>
    </xf>
    <xf borderId="1" fillId="6" fontId="7" numFmtId="164" xfId="0" applyAlignment="1" applyBorder="1" applyFont="1" applyNumberFormat="1">
      <alignment horizontal="center" vertical="center"/>
    </xf>
    <xf borderId="1" fillId="0" fontId="7" numFmtId="169" xfId="0" applyAlignment="1" applyBorder="1" applyFont="1" applyNumberFormat="1">
      <alignment readingOrder="0"/>
    </xf>
    <xf borderId="5" fillId="0" fontId="2" numFmtId="0" xfId="0" applyAlignment="1" applyBorder="1" applyFont="1">
      <alignment horizontal="center"/>
    </xf>
    <xf borderId="6" fillId="0" fontId="2" numFmtId="0" xfId="0" applyAlignment="1" applyBorder="1" applyFont="1">
      <alignment readingOrder="0"/>
    </xf>
    <xf borderId="7" fillId="0" fontId="2" numFmtId="0" xfId="0" applyAlignment="1" applyBorder="1" applyFont="1">
      <alignment readingOrder="0"/>
    </xf>
    <xf borderId="7" fillId="0" fontId="2" numFmtId="0" xfId="0" applyBorder="1" applyFont="1"/>
    <xf borderId="1" fillId="0" fontId="13" numFmtId="0" xfId="0" applyAlignment="1" applyBorder="1" applyFont="1">
      <alignment horizontal="center" vertical="center"/>
    </xf>
    <xf borderId="0" fillId="0" fontId="2" numFmtId="0" xfId="0" applyAlignment="1" applyFont="1">
      <alignment horizontal="center"/>
    </xf>
    <xf borderId="1" fillId="3" fontId="6" numFmtId="0" xfId="0" applyAlignment="1" applyBorder="1" applyFont="1">
      <alignment horizontal="left" shrinkToFit="0" vertical="center" wrapText="1"/>
    </xf>
    <xf borderId="11" fillId="2" fontId="8" numFmtId="0" xfId="0" applyAlignment="1" applyBorder="1" applyFont="1">
      <alignment horizontal="center" shrinkToFit="0" vertical="center" wrapText="1"/>
    </xf>
    <xf borderId="1" fillId="7" fontId="6" numFmtId="0" xfId="0" applyAlignment="1" applyBorder="1" applyFill="1" applyFont="1">
      <alignment horizontal="center" shrinkToFit="0" vertical="center" wrapText="1"/>
    </xf>
    <xf borderId="0" fillId="0" fontId="8" numFmtId="0" xfId="0" applyAlignment="1" applyFont="1">
      <alignment horizontal="left" shrinkToFit="0" vertical="center" wrapText="1"/>
    </xf>
    <xf borderId="11" fillId="2" fontId="7" numFmtId="0" xfId="0" applyBorder="1" applyFont="1"/>
    <xf borderId="1" fillId="3" fontId="10" numFmtId="0" xfId="0" applyAlignment="1" applyBorder="1" applyFont="1">
      <alignment horizontal="left"/>
    </xf>
    <xf borderId="1" fillId="0" fontId="7" numFmtId="0" xfId="0" applyAlignment="1" applyBorder="1" applyFont="1">
      <alignment horizontal="right" shrinkToFit="0" vertical="center" wrapText="1"/>
    </xf>
    <xf borderId="11" fillId="2" fontId="7" numFmtId="0" xfId="0" applyAlignment="1" applyBorder="1" applyFont="1">
      <alignment horizontal="center" shrinkToFit="0" vertical="center" wrapText="1"/>
    </xf>
    <xf borderId="1" fillId="0" fontId="7" numFmtId="167" xfId="0" applyAlignment="1" applyBorder="1" applyFont="1" applyNumberFormat="1">
      <alignment horizontal="center" shrinkToFit="0" vertical="center" wrapText="1"/>
    </xf>
    <xf borderId="1" fillId="3" fontId="7" numFmtId="0" xfId="0" applyAlignment="1" applyBorder="1" applyFont="1">
      <alignment horizontal="left" shrinkToFit="0" vertical="center" wrapText="1"/>
    </xf>
    <xf borderId="1" fillId="3" fontId="7" numFmtId="0" xfId="0" applyAlignment="1" applyBorder="1" applyFont="1">
      <alignment horizontal="left"/>
    </xf>
    <xf borderId="0" fillId="0" fontId="7" numFmtId="0" xfId="0" applyAlignment="1" applyFont="1">
      <alignment horizontal="left"/>
    </xf>
    <xf borderId="1" fillId="0" fontId="7" numFmtId="164" xfId="0" applyAlignment="1" applyBorder="1" applyFont="1" applyNumberForma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horizontal="center"/>
    </xf>
    <xf borderId="1" fillId="0" fontId="7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1" fillId="0" fontId="7" numFmtId="0" xfId="0" applyAlignment="1" applyBorder="1" applyFont="1">
      <alignment readingOrder="0" shrinkToFit="0" vertical="center" wrapText="1"/>
    </xf>
    <xf borderId="0" fillId="0" fontId="7" numFmtId="0" xfId="0" applyAlignment="1" applyFont="1">
      <alignment shrinkToFit="0" vertical="center" wrapText="1"/>
    </xf>
    <xf borderId="0" fillId="0" fontId="1" numFmtId="0" xfId="0" applyAlignment="1" applyFont="1">
      <alignment horizontal="center"/>
    </xf>
    <xf borderId="12" fillId="0" fontId="1" numFmtId="15" xfId="0" applyAlignment="1" applyBorder="1" applyFont="1" applyNumberFormat="1">
      <alignment horizontal="center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1" fillId="0" fontId="2" numFmtId="0" xfId="0" applyBorder="1" applyFont="1"/>
    <xf borderId="1" fillId="0" fontId="7" numFmtId="164" xfId="0" applyAlignment="1" applyBorder="1" applyFont="1" applyNumberFormat="1">
      <alignment horizontal="center"/>
    </xf>
    <xf borderId="1" fillId="0" fontId="1" numFmtId="0" xfId="0" applyAlignment="1" applyBorder="1" applyFont="1">
      <alignment horizontal="center"/>
    </xf>
    <xf borderId="1" fillId="0" fontId="7" numFmtId="15" xfId="0" applyAlignment="1" applyBorder="1" applyFont="1" applyNumberFormat="1">
      <alignment horizontal="center" readingOrder="0" shrinkToFit="0" vertical="center" wrapText="1"/>
    </xf>
    <xf borderId="1" fillId="0" fontId="7" numFmtId="0" xfId="0" applyAlignment="1" applyBorder="1" applyFont="1">
      <alignment horizontal="right" readingOrder="0" shrinkToFit="0" vertical="center" wrapText="1"/>
    </xf>
    <xf borderId="0" fillId="0" fontId="7" numFmtId="15" xfId="0" applyAlignment="1" applyFont="1" applyNumberFormat="1">
      <alignment horizontal="center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right" shrinkToFit="0" vertical="center" wrapText="1"/>
    </xf>
    <xf borderId="1" fillId="0" fontId="7" numFmtId="16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C7687"/>
          <bgColor rgb="FF6C7687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3" pivot="0" name="Detail1-style">
      <tableStyleElement dxfId="1" type="headerRow"/>
      <tableStyleElement dxfId="2" type="firstRowStripe"/>
      <tableStyleElement dxfId="3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439" sheet="Expense Statement"/>
  </cacheSource>
  <cacheFields>
    <cacheField name="Voucher Number">
      <sharedItems containsDate="1" containsBlank="1" containsMixedTypes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d v="2025-01-02T00:00:00Z"/>
        <d v="2025-02-02T00:00:00Z"/>
        <d v="2025-03-02T00:00:00Z"/>
        <d v="2025-04-02T00:00:00Z"/>
        <d v="2025-05-02T00:00:00Z"/>
        <d v="2025-06-02T00:00:00Z"/>
        <d v="2025-07-02T00:00:00Z"/>
        <d v="2025-08-02T00:00:00Z"/>
        <d v="2025-09-02T00:00:00Z"/>
        <d v="2025-10-02T00:00:00Z"/>
        <d v="2025-11-02T00:00:00Z"/>
        <d v="2025-12-02T00:00:00Z"/>
        <s v="2/13"/>
        <s v="2/14"/>
        <s v="2/15"/>
        <s v="2/16"/>
        <s v="2/17"/>
        <s v="2/18"/>
        <s v="2/19"/>
        <s v="2/20"/>
        <s v="2/21"/>
        <s v="2/22"/>
        <s v="2/23"/>
        <s v="2/23-1"/>
        <s v="2/24"/>
        <s v="2/25"/>
        <s v="2/26"/>
        <s v="2/27"/>
        <s v="2/28"/>
        <s v="2/29"/>
        <s v="2/30"/>
        <s v="2/31"/>
        <s v="2/32"/>
        <s v="2/33"/>
        <s v="2/34"/>
        <s v="2/35"/>
        <s v="2/36"/>
        <s v="2/37"/>
        <s v="2/38"/>
        <s v="2/39"/>
        <s v="2/40"/>
        <s v="2/41"/>
        <s v="2/42"/>
        <s v="2/43"/>
        <s v="2/44"/>
        <s v="2/45"/>
        <s v="2/46"/>
        <s v="2/47"/>
        <s v="2/48"/>
        <s v="2/49"/>
        <s v="2/50"/>
        <s v="2/51"/>
        <s v="2/52"/>
        <s v="2/53"/>
        <s v="2/54"/>
        <s v="2/55"/>
        <s v="2/56"/>
        <s v="2/57"/>
        <s v="2/58"/>
        <s v="2/59"/>
        <s v="2/60"/>
        <s v="2/61"/>
        <s v="2/62"/>
        <s v="2/63"/>
        <s v="2/64"/>
        <s v="2/65"/>
        <s v="2/66"/>
        <s v="2/67"/>
        <s v="2/68"/>
        <s v="2/69"/>
        <s v="2/70"/>
        <d v="2025-01-03T00:00:00Z"/>
        <d v="2025-02-03T00:00:00Z"/>
        <d v="2025-03-03T00:00:00Z"/>
        <d v="2025-04-03T00:00:00Z"/>
        <d v="2025-05-03T00:00:00Z"/>
        <d v="2025-06-03T00:00:00Z"/>
        <d v="2025-07-03T00:00:00Z"/>
        <d v="2025-08-03T00:00:00Z"/>
        <d v="2025-09-03T00:00:00Z"/>
        <d v="2025-10-03T00:00:00Z"/>
        <d v="2025-11-03T00:00:00Z"/>
        <d v="2025-12-03T00:00:00Z"/>
        <s v="3/13"/>
        <s v="3/14"/>
        <s v="3/15"/>
        <s v="3/16"/>
        <s v="3/17"/>
        <s v="3/18"/>
        <s v="3/19"/>
        <s v="3/20"/>
        <s v="3/21"/>
        <s v="3/22"/>
        <s v="3/23"/>
        <s v="3/24"/>
        <s v="3/25"/>
        <s v="3/26"/>
        <s v="3/27"/>
        <s v="3/28"/>
        <s v="3/29"/>
        <s v="3/30"/>
        <s v="3/31"/>
        <s v="3/32"/>
        <s v="3/33"/>
        <s v="3/34"/>
        <s v="3/35"/>
        <s v="3/36"/>
        <s v="3/37"/>
        <s v="3/38"/>
        <s v="3/39"/>
        <s v="3/40"/>
        <s v="3/41"/>
        <s v="3/42"/>
        <s v="3/43"/>
        <s v="3/44"/>
        <s v="3/45"/>
        <s v="3/46"/>
        <s v="3/47"/>
        <s v="3/48"/>
        <s v="3/49"/>
        <s v="3/50"/>
        <s v="3/51"/>
        <s v="3/52"/>
        <s v="3/53"/>
        <s v="3/54"/>
        <s v="3/55"/>
        <s v="3/56"/>
        <s v="3/57"/>
        <s v="3/58"/>
        <s v="3/59"/>
        <s v="3/60"/>
        <s v="3/61"/>
        <s v="3/62"/>
        <s v="3/63"/>
        <s v="3/64"/>
        <s v="3/65"/>
        <s v="3/66"/>
        <s v="3/67"/>
        <s v="3/68"/>
        <d v="2026-01-04T00:00:00Z"/>
        <d v="2026-02-04T00:00:00Z"/>
        <d v="2026-03-04T00:00:00Z"/>
        <d v="2026-04-04T00:00:00Z"/>
        <d v="2026-05-04T00:00:00Z"/>
        <d v="2026-06-04T00:00:00Z"/>
        <d v="2026-07-04T00:00:00Z"/>
        <d v="2026-08-04T00:00:00Z"/>
        <d v="2026-09-04T00:00:00Z"/>
        <d v="2026-10-04T00:00:00Z"/>
        <d v="2026-11-04T00:00:00Z"/>
        <d v="2026-12-04T00:00:00Z"/>
        <s v="4/13"/>
        <s v="4/14"/>
        <s v="4/15"/>
        <s v="4/16"/>
        <s v="4/17"/>
        <s v="4/18"/>
        <s v="4/19"/>
        <s v="4/20"/>
        <s v="4/21"/>
        <s v="4/22"/>
        <s v="4/23"/>
        <s v="4/24"/>
        <s v="4/25"/>
        <s v="4/26"/>
        <s v="4/27"/>
        <s v="4/28"/>
        <s v="4/29"/>
        <s v="4/30"/>
        <s v="4/31"/>
        <s v="4/32"/>
        <s v="4/33"/>
        <s v="4/34"/>
        <s v="4/35"/>
        <m/>
      </sharedItems>
    </cacheField>
    <cacheField name="Date" numFmtId="15">
      <sharedItems containsDate="1" containsString="0" containsBlank="1">
        <d v="2025-05-27T00:00:00Z"/>
        <d v="2025-05-29T00:00:00Z"/>
        <d v="2025-05-30T00:00:00Z"/>
        <d v="2025-05-31T00:00:00Z"/>
        <d v="2025-06-02T00:00:00Z"/>
        <d v="2025-06-06T00:00:00Z"/>
        <d v="2025-06-08T00:00:00Z"/>
        <d v="2025-06-09T00:00:00Z"/>
        <d v="2025-06-10T00:00:00Z"/>
        <d v="2025-06-14T00:00:00Z"/>
        <d v="2025-06-18T00:00:00Z"/>
        <d v="2025-06-22T00:00:00Z"/>
        <d v="2025-06-23T00:00:00Z"/>
        <d v="2025-06-26T00:00:00Z"/>
        <d v="2025-07-09T00:00:00Z"/>
        <d v="2025-07-17T00:00:00Z"/>
        <d v="2025-06-28T00:00:00Z"/>
        <d v="2025-07-07T00:00:00Z"/>
        <d v="2025-07-01T00:00:00Z"/>
        <d v="2025-07-08T00:00:00Z"/>
        <d v="2025-07-15T00:00:00Z"/>
        <d v="2025-07-14T00:00:00Z"/>
        <d v="2025-07-11T00:00:00Z"/>
        <d v="2025-07-16T00:00:00Z"/>
        <d v="2025-07-22T00:00:00Z"/>
        <d v="2025-07-23T00:00:00Z"/>
        <d v="2025-07-25T00:00:00Z"/>
        <d v="2025-07-19T00:00:00Z"/>
        <d v="2025-07-26T00:00:00Z"/>
        <d v="2025-07-27T00:00:00Z"/>
        <d v="2025-07-28T00:00:00Z"/>
        <d v="2025-07-29T00:00:00Z"/>
        <d v="2025-07-30T00:00:00Z"/>
        <d v="2025-08-02T00:00:00Z"/>
        <d v="2025-08-04T00:00:00Z"/>
        <d v="2025-07-31T00:00:00Z"/>
        <d v="2025-08-05T00:00:00Z"/>
        <d v="2025-08-07T00:00:00Z"/>
        <d v="2025-08-10T00:00:00Z"/>
        <d v="2025-08-12T00:00:00Z"/>
        <d v="2025-08-13T00:00:00Z"/>
        <d v="2025-08-14T00:00:00Z"/>
        <d v="2025-08-16T00:00:00Z"/>
        <d v="2025-08-19T00:00:00Z"/>
        <d v="2025-08-15T00:00:00Z"/>
        <d v="2026-08-16T00:00:00Z"/>
        <d v="2026-08-19T00:00:00Z"/>
        <d v="2025-08-20T00:00:00Z"/>
        <d v="2025-08-23T00:00:00Z"/>
        <d v="2025-08-25T00:00:00Z"/>
        <d v="2025-08-26T00:00:00Z"/>
        <d v="2025-08-27T00:00:00Z"/>
        <d v="2025-08-30T00:00:00Z"/>
        <d v="2025-09-03T00:00:00Z"/>
        <d v="2025-09-06T00:00:00Z"/>
        <d v="2025-09-07T00:00:00Z"/>
        <d v="2025-09-08T00:00:00Z"/>
        <d v="2025-09-09T00:00:00Z"/>
        <d v="2025-09-11T00:00:00Z"/>
        <d v="2025-09-13T00:00:00Z"/>
        <d v="2025-09-18T00:00:00Z"/>
        <d v="2025-09-17T00:00:00Z"/>
        <d v="2025-09-20T00:00:00Z"/>
        <d v="2025-09-27T00:00:00Z"/>
        <d v="2025-09-28T00:00:00Z"/>
        <d v="2025-10-02T00:00:00Z"/>
        <d v="2025-10-05T00:00:00Z"/>
        <d v="2025-10-10T00:00:00Z"/>
        <d v="2025-10-12T00:00:00Z"/>
        <d v="2025-10-14T00:00:00Z"/>
        <d v="2025-10-17T00:00:00Z"/>
        <d v="2025-10-28T00:00:00Z"/>
        <d v="2025-10-22T00:00:00Z"/>
        <d v="2025-11-01T00:00:00Z"/>
        <d v="2025-11-09T00:00:00Z"/>
        <d v="2025-11-15T00:00:00Z"/>
        <d v="2025-11-16T00:00:00Z"/>
        <d v="2025-11-17T00:00:00Z"/>
        <d v="2025-11-18T00:00:00Z"/>
        <d v="2025-11-21T00:00:00Z"/>
        <d v="2025-11-22T00:00:00Z"/>
        <d v="2025-11-23T00:00:00Z"/>
        <d v="2025-11-20T00:00:00Z"/>
        <d v="2025-11-27T00:00:00Z"/>
        <d v="2025-11-19T00:00:00Z"/>
        <d v="2025-12-03T00:00:00Z"/>
        <d v="2025-12-06T00:00:00Z"/>
        <d v="2025-12-14T00:00:00Z"/>
        <d v="2025-12-15T00:00:00Z"/>
        <d v="2025-12-16T00:00:00Z"/>
        <d v="2025-12-18T00:00:00Z"/>
        <d v="2025-12-19T00:00:00Z"/>
        <d v="2025-12-20T00:00:00Z"/>
        <d v="2026-01-05T00:00:00Z"/>
        <d v="2026-01-17T00:00:00Z"/>
        <d v="2026-01-18T00:00:00Z"/>
        <d v="2026-01-20T00:00:00Z"/>
        <d v="2026-02-03T00:00:00Z"/>
        <d v="2026-02-07T00:00:00Z"/>
        <d v="2026-02-09T00:00:00Z"/>
        <d v="2026-02-11T00:00:00Z"/>
        <d v="2026-02-19T00:00:00Z"/>
        <d v="2026-02-15T00:00:00Z"/>
        <d v="2026-02-16T00:00:00Z"/>
        <d v="2026-02-17T00:00:00Z"/>
        <d v="2026-02-21T00:00:00Z"/>
        <d v="2026-02-28T00:00:00Z"/>
        <d v="2026-03-01T00:00:00Z"/>
        <d v="2026-03-02T00:00:00Z"/>
        <d v="2026-03-19T00:00:00Z"/>
        <d v="2026-03-20T00:00:00Z"/>
        <d v="2026-03-22T00:00:00Z"/>
        <d v="2026-04-14T00:00:00Z"/>
        <d v="2026-04-26T00:00:00Z"/>
        <d v="2026-05-07T00:00:00Z"/>
        <d v="2026-05-30T00:00:00Z"/>
        <d v="2026-06-11T00:00:00Z"/>
        <d v="2026-06-12T00:00:00Z"/>
        <d v="2026-06-14T00:00:00Z"/>
        <d v="2026-06-21T00:00:00Z"/>
        <d v="2026-07-02T00:00:00Z"/>
        <d v="2026-07-06T00:00:00Z"/>
        <d v="2026-07-08T00:00:00Z"/>
        <m/>
      </sharedItems>
    </cacheField>
    <cacheField name="Particular" numFmtId="0">
      <sharedItems containsBlank="1">
        <s v="Contractor Harmeet"/>
        <s v="God Idol:Shivling,Nandiji,Jaleri"/>
        <s v="Labour food(Harmeet)"/>
        <s v="Security Guard on sthapana"/>
        <s v="Panditji Dakshina for sthapana"/>
        <s v="Pooja Ka Saman for sthapana"/>
        <s v="Labour(Harmeet) for sthapana"/>
        <s v="Flower Petal for sthpana"/>
        <s v="Fruit for sthapana &amp; Prasad"/>
        <s v="God Idol:Nag Devta,Ghanti,Jhanda"/>
        <s v="Water Bottles on Sthapana"/>
        <s v="Contractor Harmeet (Payment to Kushal Garg (1000 Bricks)"/>
        <s v="Contractor Harmeet (Payment to Kushal Garg (2000 Bricks)"/>
        <s v="Contractor Harmeet (Cash)"/>
        <s v="Receipt Book (2) Carbon (2)"/>
        <s v="Contractor Harmeet (Payment to kushal Garg (11 bags Cement))"/>
        <s v="Receipt Book(4) &amp; Voucher book(1)"/>
        <s v="Door mat for mandir"/>
        <s v="Contractor Harmeet (UPI by Mayank)"/>
        <s v="Receipt Book(5) &amp; carbon(3)"/>
        <s v="Contractor Harmeet (Cash By Akhilesh)"/>
        <s v="Contractor Harmeet (Payment to kushal Garg (5 bags Cement))"/>
        <s v="Krishna Traders (Plastic Boxes -02)"/>
        <s v="Contractor Harmeet (Cash By Akhilesh/Mayank)"/>
        <s v="Partap Shopping center (Daily pooja Samagri)"/>
        <s v="Electrical Billl(Bulbs &amp; Wiring)"/>
        <s v="Disposal for Mandir Daily Use"/>
        <s v="Water Supply of Mandir Flat (Store)"/>
        <s v="labour Bakshish on Lenter given by Akhilesh "/>
        <s v="Contractor Harmeet( Cash for Mixer)"/>
        <s v="Mithelesh painter, who painted the flat D1 GF03 Piad by Nanda Ji"/>
        <s v="Dholki wala by payment Mayank &amp; Akhilesh "/>
        <s v="Dholki wala payment by Akhilesh"/>
        <s v="Dholki wala payment by Amit vats"/>
        <s v="Contractor Harmeet (Payment to Raju for Letner Opening)"/>
        <s v="Chatai (3 Mats)"/>
        <s v="Green Net for covering"/>
        <s v="Plumber material for Flat (Store) Paid by Nanda Ji"/>
        <s v="Hanuman Ji Photo Payment by Amit Vats"/>
        <s v="Steel Drain Jaali, Stone jointer, Chain/Hook &amp; Cast Iron jali payment to Pranay"/>
        <s v="Elbow(2) &amp; Socket(2) Payment to Jindal Interiors by Gaurav Ji"/>
        <s v="Tray(1), Container (3), Platic Tubs(2) to Nanda Ji"/>
        <s v="Wiper (2) Payment to Nanda Ji"/>
        <s v="Flex Printing(2) payment to Nanda ji"/>
        <s v="Payment to mayank for saman(vijay Sharma)"/>
        <s v="Sundarkand (10), Chunni (2) payment to Mayank"/>
        <s v="2 Folding Bed payment to Mayank"/>
        <s v="Stool (12)"/>
        <s v="2 Permanent Marker "/>
        <s v="Tea Advance"/>
        <s v="Board &amp; Lock (1 each)"/>
        <s v="Bathroom Fittings - Store"/>
        <s v="Electrical material for Store(Extension Board)"/>
        <s v="Electrical material for Store"/>
        <s v="Ansh Phool Wala (26/6/2025 to 31/7/2025) payment done"/>
        <s v="Musical Instrument for mandir"/>
        <s v="Glass Fitting (Flat) + Safai Payment"/>
        <s v="Dariya (5)"/>
        <s v="Recipt Books (6)"/>
        <s v="Tables (2)"/>
        <s v="Payment to Harmeet Contractor"/>
        <s v="Bedsheet (3)"/>
        <s v="Washroom Cleaner + Tea,+ Lassi +Notepad"/>
        <s v="Garbage Bag"/>
        <s v="Iron Pipes For Shikar"/>
        <s v="Payment to Dholki Wala"/>
        <s v="Payment to Kudewala for Jal parwah "/>
        <s v="900 Mistri Packets From Meenakshi Chaturvedi + Labour Food"/>
        <s v="Mishri Prasad ( 3000 Packets) directly from Neeraj Kashyap"/>
        <s v="Steel Jhula for Janamashtami"/>
        <s v="Payment to Shiv Shakti, Manimajra for Mandir Top Kalash (2)"/>
        <s v="Payment for Bucket, Mug for Flat"/>
        <s v="Piegon Net for Windows"/>
        <s v="Aradite"/>
        <s v="Janamashtami - Ballon, Fruits, Disposals, Mandir MCB"/>
        <s v="Flower Decoration - Ansh"/>
        <s v="Prashad Container (200)"/>
        <s v="56 Bhog Thal"/>
        <s v="10 Crates of Water - Pranay"/>
        <s v="10 Crates of Water - akhilesh"/>
        <s v="Lights Decoration (6 Pieces)"/>
        <s v="Dhol Wala on janamashtami"/>
        <s v="Acrylic colors Big Box for Shivling"/>
        <s v="Mathura Peda Prashad for 15th Pooja"/>
        <s v="Cells, Hit &amp; Brush"/>
        <s v="Carry bags (200) For prashad"/>
        <s v="Voucher Book(2)"/>
        <s v="Dakshina to Shastri ji (Janamashtami - Thali + Daan Patra : 50%)"/>
        <s v="Naag Devta for Mandir"/>
        <s v="Chandan &amp; Honey for Mandir"/>
        <s v="Payment for Tent on Janamashtami"/>
        <s v="Rishi pathar wala payment"/>
        <s v="Love Catering ( Bhandara Payment - Janamashatami)"/>
        <s v="Chokhat Payment Ti Mani Pal Goyal By Amit Katiyar"/>
        <s v="Payment for chemical 50 bags, 390 per bag"/>
        <s v="Advance payments for Rack"/>
        <s v="20 Cemet Bags - Payment to rishi"/>
        <s v="Payment to Rishi for Plaster Work &amp; Tile Work Tilll2 Sep 2025"/>
        <s v="Payment for Dholwala (700) &amp; Jagannath (200) on Chati Event"/>
        <s v="Racks Pending Payment (5650) + Carriage(400)"/>
        <s v="God Idols: Shiv parivar &amp; Hanuman Ji"/>
        <s v="Payment to Rishi for the work done on 4th Sep 2025"/>
        <s v="Payment to rishi for Work done till 7th Sep 2025"/>
        <s v="Payment for Red Stone &amp; Carriage in cash"/>
        <s v="Red Stone Online Payment by mayank"/>
        <s v="Additional 3 Boxes + Carriage Tiles"/>
        <s v="Arolite for Mandir"/>
        <s v="Cement Bags for Outerwalls"/>
        <s v="Tile Adhesive Outewalls and Top (150 Bags Shiv Durga Mandir NCT - Donation &amp; Expenses"/>
        <s v="Jeera Bajri 50-50 Ft HARMEET"/>
        <s v="Rishi pathar wala payment (8 Sep - 11 sep)"/>
        <s v="Payment to Harmeet Contractor (False Ceiling)"/>
        <s v="Rishi pathar wala payment (12 Sep - 18 sep)"/>
        <s v="SandeStone 1300 Sqft"/>
        <s v="Mandir Saman"/>
        <s v="Payment to Rishi From 19 Sep -26 Sep"/>
        <s v="300 Bricks + Carriage"/>
        <s v="Payment to Harmeet for FalseCeling Work"/>
        <s v="Payment tp Dharmender Ragdai wala"/>
        <s v="Payment to Rishi (27 Sep - 4 Oct 2025)"/>
        <s v="Moulding Polish Work (9Days)"/>
        <s v="Labour payment to Rishi (5oct - 10 oct)"/>
        <s v="Advance payment for Main door"/>
        <s v="10 Cement Packs"/>
        <s v=" Lights for Diwali Decoration "/>
        <s v="Tiles 500ft for Terrace "/>
        <s v="Advance for Top Jali to Faiz Khan"/>
        <s v="Quality Hardware Payment "/>
        <s v="Bajri(50ft) Reta(50Ft)"/>
        <s v="Payment to Rishi Labour( 11th Oct -17th Oct)"/>
        <s v="Final Payment to Harmeet "/>
        <s v="Advance Payment to Rishi for Labour"/>
        <s v="Red Stone 500ft additional "/>
        <s v="Payment to Ansh Phool wala"/>
        <s v="Payment for Mandir work"/>
        <s v="Mandir Ghee + Honey"/>
        <s v="Payment for Tent &amp; Water Tanker ( Ankoot)"/>
        <s v="Ghee bought on 12 Oct"/>
        <s v="SA Cement for Jali (30) &amp; Stand (60)"/>
        <s v="Pending Payment to Ryan Timber (Amit Katiyar) for door, Hinges &amp; Frieght of gate"/>
        <s v="Payment to painter ( Brij Kishore) for Gate"/>
        <s v="Payment to Dharmendra Ragdai wala"/>
        <s v="10 Bags Cemenet"/>
        <s v="Epoxy Grout, 6 Bags paid, 5 Free"/>
        <s v="Payment to rishi for Jali"/>
        <s v="Payment to Brij Kishore for Polish"/>
        <s v="Frieght for Gate"/>
        <s v="Payment to rishi for Jali Labour"/>
        <s v="Payment to Rishi for 3 side Fasrh work"/>
        <s v="Flower Decoration 3 Days"/>
        <s v="New Hira Band"/>
        <s v="Cameraman"/>
        <s v="Dakshina to all Pandit Ji"/>
        <s v="Payment to Ansh for Sep &amp; Oct"/>
        <s v="Expenses on event mentioned in voucher book"/>
        <s v="Hanuman ji Darbar Advance"/>
        <s v="Diseal &amp; Toll for 1 car for Shobha Yatra"/>
        <s v="Diseal Expense for Jaipur"/>
        <s v="Jaipur Trip to Buy Murti's - Details in Voucher "/>
        <s v="2nd Car Toll + Petrol + driver + Jagarnath"/>
        <s v="Partial Payment to Meenakshi Chaturvedi for the Pooja Samagri"/>
        <s v="Details in Voucher for mutiple material for event"/>
        <s v="Hanuman ji Darbar( 2nd Installment)"/>
        <s v="Final payment Hanuman ji Darbar"/>
        <s v="Chuni Decoration"/>
        <s v="Pagdi's(100)"/>
        <s v="Trishul's"/>
        <s v="Flex printing-8"/>
        <s v="All Idols Dresses"/>
        <s v="Payment to Pandit ji for Samapan"/>
        <s v="Door Mats"/>
        <s v="Ompal"/>
        <s v="Final Payment Meenakshi ji"/>
        <s v="Payment for Tulsi Stand"/>
        <s v="Anti Skit Tape, Gamla, Tub, Plumber, Bidding for gate"/>
        <s v="Tent payment for 3 days Event"/>
        <s v="Cement Bags"/>
        <s v="Grill Payment"/>
        <s v="Murti Wala Delivery Boy Extra payment (Extra + Ganesh ji (11000))"/>
        <s v="Daily Saman for mandir - 17 Nov 2025"/>
        <s v="Hanuman Ji Darbar Transport"/>
        <s v="Speaker Payment"/>
        <s v="Payment to Brij Kishore Painter on 19th Nov &amp; 29th Nov"/>
        <s v="Final Payment to Brij Kishore Painter"/>
        <s v="Payment to plumber for Ro &amp; Gyser"/>
        <s v="Payment for taps to plumber "/>
        <s v="Payment to Electician"/>
        <s v="Labour for Side wall ( Road side)"/>
        <s v="Backside Almirahs "/>
        <s v="Advance to Satvir Advocate for Registration"/>
        <s v="Details in Voucher for mutiple material "/>
        <s v="Airtel Wifi Payment"/>
        <s v="Labour for Wood Work ( Singhasan)"/>
        <s v="Reimbursiment to Amit Vats"/>
        <s v="Plumbing Material"/>
        <s v="Pending Payment to Adv Satvir ji"/>
        <s v="Details in Voucher book"/>
        <s v="Safai ( savita ) Payment Jan"/>
        <s v="Shivling Mitti for Shivratri"/>
        <s v="Payment to Halwai for Shivratri"/>
        <s v="Details Mentione in Vocher for multiple material"/>
        <s v="Decoration payment"/>
        <s v="Reimburisment to Amit Vats, Details in receipt Book"/>
        <s v="Advance paid to Halwai for Phoolon Ke Holi"/>
        <s v="Shivratiri Tent Payment"/>
        <s v="Khanna Flour Mill (Paid on 22 March 2026)"/>
        <s v="Phoolon Ke Holi"/>
        <s v="Gujiya prashad"/>
        <s v="Savita Salary for Feb"/>
        <s v="Santosh for Deep Cleaning Mandir"/>
        <s v="Pending Construction Work Done by Navin Ji"/>
        <s v="Stapler + Tie+ Pins"/>
        <s v="Cable + Tape"/>
        <s v="Camera Installation &amp; Saman (Nanda Ji)"/>
        <s v="Dupate For Decoration Of mandir (Nanda Ji)"/>
        <s v="10 flood Lights (Nanda Ji)"/>
        <s v="Shastri Ji Aasan + Ply"/>
        <s v="Rohtash Payment For Bhandara Vegetable"/>
        <s v="Halwai Saman For Bhandara"/>
        <s v="Disposals,Water, Boondi for Bhandara"/>
        <s v="Ansh Phpool wala Payment"/>
        <s v="Kamal Tricity Electrical"/>
        <s v="Savita Salary for March &amp; April 2026 to Sakshi Bhabhi ji"/>
        <s v="Payment for Plants outside the mandir"/>
        <s v="Payment For Tent by Mayank"/>
        <s v="Payment for Daily Flower for Pooja"/>
        <s v="Reimbuirsment to Amit Vats ji (Details in Voucher)"/>
        <s v="Payment to NCT Maintence Office for Booking Club House on Shivratri (Receipt No : 53)"/>
        <s v="Payment to Raman Ji Dress Wale (Ambala) for Changing Dresses of all Idols"/>
        <s v="Payment To Rohtash For Fruits on Sthapna Diwas Hawan"/>
        <s v="Reimbuirsment to Mayank ( Details in Voucher)"/>
        <s v="Mandir all Carpet dry Cleaning"/>
        <s v="Reimbuirsment to Prashad Boxes (Rs 44*300)"/>
        <s v="Mango Festival"/>
        <s v="Udit For RO Repair"/>
        <s v="Savita Salary May 2026"/>
        <s v="Payment To Dholki Wala by Akhilesh (Details in Voucher)"/>
        <s v="Internet Bill Paid by Akhilesh"/>
        <s v="Savita Salary (June 2026("/>
        <s v="Ac Service"/>
        <m/>
      </sharedItems>
    </cacheField>
    <cacheField name="Category" numFmtId="0">
      <sharedItems containsBlank="1">
        <s v="Construction"/>
        <s v="Idols"/>
        <s v="Event"/>
        <s v="Ops"/>
        <m/>
        <s v="Dakshina"/>
        <s v="Tent"/>
        <s v="Pran Pratishtha"/>
        <s v="Speaker"/>
        <s v="Carpenter"/>
      </sharedItems>
    </cacheField>
    <cacheField name="Bill Date">
      <sharedItems containsDate="1" containsBlank="1" containsMixedTypes="1">
        <d v="2025-10-28T00:00:00Z"/>
        <d v="2025-05-29T00:00:00Z"/>
        <d v="2025-05-30T00:00:00Z"/>
        <d v="2025-06-02T00:00:00Z"/>
        <d v="2025-06-08T00:00:00Z"/>
        <d v="2025-06-10T00:00:00Z"/>
        <d v="2025-06-23T00:00:00Z"/>
        <d v="2025-07-09T00:00:00Z"/>
        <d v="2025-07-17T00:00:00Z"/>
        <d v="2025-06-28T00:00:00Z"/>
        <d v="2025-07-07T00:00:00Z"/>
        <d v="2025-07-01T00:00:00Z"/>
        <d v="2025-07-08T00:00:00Z"/>
        <d v="2025-07-15T00:00:00Z"/>
        <d v="2025-07-14T00:00:00Z"/>
        <d v="2025-07-11T00:00:00Z"/>
        <d v="2025-07-16T00:00:00Z"/>
        <d v="2025-07-22T00:00:00Z"/>
        <m/>
        <d v="2025-07-20T00:00:00Z"/>
        <d v="2025-07-25T00:00:00Z"/>
        <d v="2025-07-19T00:00:00Z"/>
        <d v="2025-07-26T00:00:00Z"/>
        <d v="2025-07-27T00:00:00Z"/>
        <s v="No Bill"/>
        <d v="2025-08-09T00:00:00Z"/>
        <d v="2025-07-28T00:00:00Z"/>
        <d v="2025-07-29T00:00:00Z"/>
        <d v="2025-08-02T00:00:00Z"/>
        <d v="2025-08-04T00:00:00Z"/>
        <d v="2025-07-31T00:00:00Z"/>
        <d v="2025-08-05T00:00:00Z"/>
        <d v="2025-08-11T00:00:00Z"/>
        <d v="2025-08-14T00:00:00Z"/>
        <d v="2025-08-12T00:00:00Z"/>
        <d v="2025-08-13T00:00:00Z"/>
        <d v="2025-08-15T00:00:00Z"/>
        <d v="2025-08-16T00:00:00Z"/>
        <d v="2025-08-19T00:00:00Z"/>
        <d v="2025-08-20T00:00:00Z"/>
        <d v="2025-08-23T00:00:00Z"/>
        <d v="2025-08-21T00:00:00Z"/>
        <d v="2025-08-25T00:00:00Z"/>
        <d v="2025-08-27T00:00:00Z"/>
        <d v="2025-09-03T00:00:00Z"/>
        <d v="2025-08-30T00:00:00Z"/>
        <d v="2025-09-06T00:00:00Z"/>
        <d v="2025-09-07T00:00:00Z"/>
        <d v="2025-09-17T00:00:00Z"/>
        <d v="2025-09-04T00:00:00Z"/>
        <d v="2025-08-24T00:00:00Z"/>
        <d v="2025-09-09T00:00:00Z"/>
        <d v="2025-09-11T00:00:00Z"/>
        <d v="2025-09-18T00:00:00Z"/>
        <d v="2025-09-27T00:00:00Z"/>
        <d v="2025-09-28T00:00:00Z"/>
        <d v="2025-10-02T00:00:00Z"/>
        <d v="2025-10-05T00:00:00Z"/>
        <d v="2025-10-10T00:00:00Z"/>
        <d v="2025-10-12T00:00:00Z"/>
        <d v="2025-10-14T00:00:00Z"/>
        <d v="2025-10-17T00:00:00Z"/>
        <d v="2025-10-22T00:00:00Z"/>
        <d v="2025-11-09T00:00:00Z"/>
        <d v="2025-11-15T00:00:00Z"/>
        <d v="2025-11-16T00:00:00Z"/>
        <d v="2025-11-17T00:00:00Z"/>
        <s v="17 Nov 205"/>
        <d v="2025-11-18T00:00:00Z"/>
        <d v="2025-11-21T00:00:00Z"/>
        <d v="2025-11-20T00:00:00Z"/>
        <d v="2025-11-22T00:00:00Z"/>
        <d v="2025-11-23T00:00:00Z"/>
        <d v="2025-11-04T00:00:00Z"/>
        <d v="2025-12-03T00:00:00Z"/>
        <d v="2025-11-19T00:00:00Z"/>
        <d v="2025-12-04T00:00:00Z"/>
        <d v="2025-11-14T00:00:00Z"/>
        <d v="2025-11-28T00:00:00Z"/>
        <d v="2025-12-06T00:00:00Z"/>
        <d v="2025-12-11T00:00:00Z"/>
        <s v="14 Dec 205"/>
        <d v="1923-04-09T00:00:00Z"/>
        <d v="2025-11-08T00:00:00Z"/>
        <d v="2025-12-15T00:00:00Z"/>
        <d v="2025-12-16T00:00:00Z"/>
        <d v="2025-12-18T00:00:00Z"/>
        <d v="2025-12-20T00:00:00Z"/>
        <d v="2026-01-17T00:00:00Z"/>
        <d v="2026-01-18T00:00:00Z"/>
        <d v="2026-01-20T00:00:00Z"/>
        <d v="2026-02-03T00:00:00Z"/>
        <d v="2025-02-07T00:00:00Z"/>
        <d v="2025-02-09T00:00:00Z"/>
        <d v="2026-02-10T00:00:00Z"/>
        <d v="2025-02-15T00:00:00Z"/>
        <d v="2025-02-16T00:00:00Z"/>
        <d v="2026-02-15T00:00:00Z"/>
        <d v="2025-02-10T00:00:00Z"/>
        <d v="2026-02-21T00:00:00Z"/>
        <d v="2026-02-28T00:00:00Z"/>
        <d v="2026-03-02T00:00:00Z"/>
        <d v="2026-03-01T00:00:00Z"/>
        <d v="2025-03-20T00:00:00Z"/>
        <d v="2026-03-22T00:00:00Z"/>
        <d v="2026-03-21T00:00:00Z"/>
        <d v="2026-04-14T00:00:00Z"/>
        <d v="2026-03-20T00:00:00Z"/>
        <d v="2025-12-26T00:00:00Z"/>
        <d v="2026-03-29T00:00:00Z"/>
        <d v="2026-04-26T00:00:00Z"/>
        <d v="2026-05-07T00:00:00Z"/>
        <d v="2026-05-30T00:00:00Z"/>
        <s v="Ni Bill"/>
      </sharedItems>
    </cacheField>
    <cacheField name="Amount" numFmtId="164">
      <sharedItems containsString="0" containsBlank="1" containsNumber="1" containsInteger="1">
        <n v="30000.0"/>
        <n v="31000.0"/>
        <n v="220.0"/>
        <n v="200.0"/>
        <n v="3200.0"/>
        <n v="1000.0"/>
        <n v="500.0"/>
        <n v="1200.0"/>
        <n v="7000.0"/>
        <n v="310.0"/>
        <n v="14000.0"/>
        <n v="140.0"/>
        <n v="50000.0"/>
        <n v="3850.0"/>
        <n v="290.0"/>
        <n v="350.0"/>
        <n v="29200.0"/>
        <n v="8200.0"/>
        <n v="41401.0"/>
        <n v="9000.0"/>
        <n v="1500.0"/>
        <n v="1750.0"/>
        <n v="360.0"/>
        <n v="150000.0"/>
        <n v="2005.0"/>
        <n v="880.0"/>
        <n v="440.0"/>
        <n v="6000.0"/>
        <n v="10000.0"/>
        <n v="700.0"/>
        <n v="2100.0"/>
        <n v="600.0"/>
        <n v="320.0"/>
        <n v="4465.0"/>
        <n v="450.0"/>
        <n v="560.0"/>
        <n v="3400.0"/>
        <n v="240.0"/>
        <n v="1740.0"/>
        <n v="3600.0"/>
        <n v="5430.0"/>
        <n v="70.0"/>
        <n v="375.0"/>
        <n v="300.0"/>
        <n v="2720.0"/>
        <n v="550.0"/>
        <n v="800.0"/>
        <n v="63650.0"/>
        <n v="330.0"/>
        <n v="85.0"/>
        <n v="27027.0"/>
        <n v="20000.0"/>
        <n v="1840.0"/>
        <n v="2600.0"/>
        <n v="9300.0"/>
        <n v="19500.0"/>
        <n v="603.0"/>
        <n v="3000.0"/>
        <n v="5000.0"/>
        <n v="1050.0"/>
        <n v="4840.0"/>
        <n v="4000.0"/>
        <n v="840.0"/>
        <n v="1850.0"/>
        <n v="260.0"/>
        <n v="725.0"/>
        <n v="120.0"/>
        <n v="7100.0"/>
        <n v="16500.0"/>
        <n v="33000.0"/>
        <n v="12500.0"/>
        <n v="17000.0"/>
        <n v="35000.0"/>
        <n v="900.0"/>
        <n v="6050.0"/>
        <n v="12200.0"/>
        <n v="6300.0"/>
        <n v="11340.0"/>
        <n v="7975.0"/>
        <n v="2000.0"/>
        <n v="58500.0"/>
        <n v="18800.0"/>
        <n v="15000.0"/>
        <n v="8500.0"/>
        <n v="40500.0"/>
        <n v="3910.0"/>
        <n v="21400.0"/>
        <n v="8100.0"/>
        <n v="25000.0"/>
        <n v="3800.0"/>
        <n v="3480.0"/>
        <n v="5600.0"/>
        <n v="3500.0"/>
        <n v="7150.0"/>
        <n v="64000.0"/>
        <n v="15500.0"/>
        <n v="4800.0"/>
        <n v="7120.0"/>
        <n v="1394.0"/>
        <n v="591.0"/>
        <n v="22300.0"/>
        <n v="12400.0"/>
        <n v="12000.0"/>
        <n v="8000.0"/>
        <n v="13000.0"/>
        <n v="21000.0"/>
        <n v="2500.0"/>
        <n v="36500.0"/>
        <n v="4200.0"/>
        <n v="8488.0"/>
        <n v="10245.0"/>
        <n v="6860.0"/>
        <n v="7500.0"/>
        <n v="8800.0"/>
        <n v="1150.0"/>
        <n v="1100.0"/>
        <n v="1540.0"/>
        <n v="23000.0"/>
        <n v="4300.0"/>
        <n v="22200.0"/>
        <n v="2250.0"/>
        <n v="21300.0"/>
        <n v="4500.0"/>
        <n v="11130.0"/>
        <n v="1700.0"/>
        <n v="920.0"/>
        <n v="1300.0"/>
        <n v="11000.0"/>
        <n v="21200.0"/>
        <n v="13470.0"/>
        <n v="8158.0"/>
        <n v="10610.0"/>
        <n v="3300.0"/>
        <n v="11170.0"/>
        <n v="4020.0"/>
        <n v="17291.0"/>
        <n v="2310.0"/>
        <n v="7658.0"/>
        <n v="6325.0"/>
        <n v="113700.0"/>
        <n v="580.0"/>
        <n v="2270.0"/>
        <n v="7920.0"/>
        <n v="5690.0"/>
        <n v="4130.0"/>
        <n v="12700.0"/>
        <n v="3810.0"/>
        <n v="17110.0"/>
        <n v="4550.0"/>
        <n v="2400.0"/>
        <n v="3569.0"/>
        <n v="1060.0"/>
        <n v="9260.0"/>
        <n v="13200.0"/>
        <n v="8460.0"/>
        <n v="3100.0"/>
        <n v="1476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Dashboard" cacheId="0" dataCaption="" compact="0" compactData="0">
  <location ref="I2:J13" firstHeaderRow="0" firstDataRow="1" firstDataCol="0"/>
  <pivotFields>
    <pivotField name="Voucher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t="default"/>
      </items>
    </pivotField>
    <pivotField name="Date" compact="0" numFmtId="1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t="default"/>
      </items>
    </pivotField>
    <pivotField name="Particul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t="default"/>
      </items>
    </pivotField>
    <pivotField name="Category" axis="axisRow" compact="0" outline="0" multipleItemSelectionAllowed="1" showAll="0" sortType="ascending">
      <items>
        <item x="4"/>
        <item x="9"/>
        <item x="0"/>
        <item x="5"/>
        <item x="2"/>
        <item x="1"/>
        <item x="3"/>
        <item x="7"/>
        <item x="8"/>
        <item x="6"/>
        <item t="default"/>
      </items>
    </pivotField>
    <pivotField name="Bill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t="default"/>
      </items>
    </pivotField>
    <pivotField name="Amoun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t="default"/>
      </items>
    </pivotField>
  </pivotFields>
  <rowFields>
    <field x="3"/>
  </rowFields>
  <dataFields>
    <dataField name="Sum of Amount" fld="5" baseField="0"/>
  </dataFields>
</pivotTableDefinition>
</file>

<file path=xl/tables/table1.xml><?xml version="1.0" encoding="utf-8"?>
<table xmlns="http://schemas.openxmlformats.org/spreadsheetml/2006/main" ref="A1:F439" displayName="Table_1" name="Table_1" id="1">
  <tableColumns count="6">
    <tableColumn name="Voucher Number" id="1"/>
    <tableColumn name="Date" id="2"/>
    <tableColumn name="Particular" id="3"/>
    <tableColumn name="Category" id="4"/>
    <tableColumn name="Bill Date" id="5"/>
    <tableColumn name="Amount" id="6"/>
  </tableColumns>
  <tableStyleInfo name="Detail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ocs.google.com/spreadsheets/u/0/d/15qtMrC9GSiTUWfitcpQPbcl_gvYGtEwv1A2gIoUkQ8k/edit" TargetMode="External"/><Relationship Id="rId3" Type="http://schemas.openxmlformats.org/officeDocument/2006/relationships/drawing" Target="../drawings/drawing3.xml"/><Relationship Id="rId4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://sr.no/" TargetMode="External"/><Relationship Id="rId3" Type="http://schemas.openxmlformats.org/officeDocument/2006/relationships/drawing" Target="../drawings/drawing4.xml"/><Relationship Id="rId4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sr.no/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sr.no/" TargetMode="External"/><Relationship Id="rId2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13.38"/>
    <col customWidth="1" min="4" max="4" width="8.63"/>
    <col customWidth="1" min="5" max="5" width="12.75"/>
    <col customWidth="1" min="6" max="8" width="8.63"/>
    <col customWidth="1" min="9" max="9" width="13.63"/>
    <col customWidth="1" min="10" max="10" width="14.5"/>
    <col customWidth="1" min="11" max="26" width="8.63"/>
  </cols>
  <sheetData>
    <row r="1" ht="12.75" customHeight="1"/>
    <row r="2" ht="12.75" customHeight="1">
      <c r="C2" s="1" t="s">
        <v>0</v>
      </c>
      <c r="D2" s="2"/>
      <c r="E2" s="4">
        <f>Donation!G749</f>
        <v>2495038</v>
      </c>
    </row>
    <row r="3" ht="12.75" customHeight="1">
      <c r="C3" s="21" t="s">
        <v>20</v>
      </c>
      <c r="D3" s="2"/>
      <c r="E3" s="22">
        <f>J13</f>
        <v>2391826</v>
      </c>
    </row>
    <row r="4" ht="12.75" customHeight="1">
      <c r="C4" s="21" t="s">
        <v>28</v>
      </c>
      <c r="D4" s="2"/>
      <c r="E4" s="2">
        <f>'Monthly Sheet'!F3</f>
        <v>12500</v>
      </c>
    </row>
    <row r="5" ht="12.75" customHeight="1">
      <c r="C5" s="21" t="s">
        <v>31</v>
      </c>
      <c r="D5" s="2"/>
      <c r="E5" s="2">
        <f>'Monthly Sheet'!K3</f>
        <v>8500</v>
      </c>
    </row>
    <row r="6" ht="12.75" customHeight="1">
      <c r="C6" s="21" t="s">
        <v>33</v>
      </c>
      <c r="D6" s="2"/>
      <c r="E6" s="2">
        <f>'Monthly Sheet'!P3</f>
        <v>8500</v>
      </c>
    </row>
    <row r="7" ht="12.75" customHeight="1">
      <c r="C7" s="21" t="s">
        <v>37</v>
      </c>
      <c r="D7" s="2"/>
      <c r="E7" s="2">
        <f>'Monthly Sheet'!U3</f>
        <v>3000</v>
      </c>
    </row>
    <row r="8" ht="12.75" customHeight="1">
      <c r="C8" s="21" t="s">
        <v>40</v>
      </c>
      <c r="D8" s="2"/>
      <c r="E8" s="2">
        <f>'Monthly Sheet'!Z3</f>
        <v>4500</v>
      </c>
    </row>
    <row r="9" ht="12.75" customHeight="1">
      <c r="C9" s="21" t="s">
        <v>42</v>
      </c>
      <c r="D9" s="2"/>
      <c r="E9" s="2">
        <f>'Monthly Sheet'!AE3</f>
        <v>2000</v>
      </c>
    </row>
    <row r="10" ht="12.75" customHeight="1">
      <c r="C10" s="2"/>
      <c r="D10" s="2"/>
      <c r="E10" s="2"/>
    </row>
    <row r="11" ht="12.75" customHeight="1">
      <c r="C11" s="2"/>
      <c r="D11" s="2"/>
      <c r="E11" s="2"/>
    </row>
    <row r="12" ht="12.75" customHeight="1">
      <c r="C12" s="2"/>
      <c r="D12" s="2"/>
      <c r="E12" s="2"/>
    </row>
    <row r="13" ht="12.75" customHeight="1">
      <c r="C13" s="30" t="s">
        <v>52</v>
      </c>
      <c r="D13" s="31"/>
      <c r="E13" s="32">
        <f>Sum(E2,E4,E5,E6,E7,E8, E9,E10,E11)-E3</f>
        <v>142212</v>
      </c>
    </row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5" t="s">
        <v>1</v>
      </c>
      <c r="B1" s="7" t="s">
        <v>2</v>
      </c>
      <c r="C1" s="7" t="s">
        <v>3</v>
      </c>
      <c r="D1" s="7" t="s">
        <v>5</v>
      </c>
      <c r="E1" s="7" t="s">
        <v>6</v>
      </c>
      <c r="F1" s="8" t="s">
        <v>7</v>
      </c>
    </row>
    <row r="2">
      <c r="A2" s="11">
        <v>1.0</v>
      </c>
      <c r="B2" s="13">
        <v>45804.0</v>
      </c>
      <c r="C2" s="15" t="s">
        <v>8</v>
      </c>
      <c r="D2" s="15" t="s">
        <v>9</v>
      </c>
      <c r="E2" s="13">
        <v>45958.0</v>
      </c>
      <c r="F2" s="18">
        <v>30000.0</v>
      </c>
    </row>
    <row r="3">
      <c r="A3" s="11">
        <v>2.0</v>
      </c>
      <c r="B3" s="13">
        <v>45806.0</v>
      </c>
      <c r="C3" s="15" t="s">
        <v>14</v>
      </c>
      <c r="D3" s="15" t="s">
        <v>16</v>
      </c>
      <c r="E3" s="13">
        <v>45806.0</v>
      </c>
      <c r="F3" s="18">
        <v>31000.0</v>
      </c>
    </row>
    <row r="4">
      <c r="A4" s="11">
        <v>3.0</v>
      </c>
      <c r="B4" s="13">
        <v>45806.0</v>
      </c>
      <c r="C4" s="15" t="s">
        <v>22</v>
      </c>
      <c r="D4" s="15" t="s">
        <v>9</v>
      </c>
      <c r="E4" s="13">
        <v>45958.0</v>
      </c>
      <c r="F4" s="18">
        <v>220.0</v>
      </c>
    </row>
    <row r="5">
      <c r="A5" s="11">
        <v>4.0</v>
      </c>
      <c r="B5" s="13">
        <v>45807.0</v>
      </c>
      <c r="C5" s="15" t="s">
        <v>26</v>
      </c>
      <c r="D5" s="15" t="s">
        <v>27</v>
      </c>
      <c r="E5" s="13">
        <v>45807.0</v>
      </c>
      <c r="F5" s="18">
        <v>200.0</v>
      </c>
    </row>
    <row r="6">
      <c r="A6" s="11">
        <v>5.0</v>
      </c>
      <c r="B6" s="13">
        <v>45807.0</v>
      </c>
      <c r="C6" s="15" t="s">
        <v>29</v>
      </c>
      <c r="D6" s="15" t="s">
        <v>27</v>
      </c>
      <c r="E6" s="13">
        <v>45807.0</v>
      </c>
      <c r="F6" s="18">
        <v>3200.0</v>
      </c>
    </row>
    <row r="7">
      <c r="A7" s="11">
        <v>6.0</v>
      </c>
      <c r="B7" s="13">
        <v>45807.0</v>
      </c>
      <c r="C7" s="15" t="s">
        <v>32</v>
      </c>
      <c r="D7" s="15" t="s">
        <v>27</v>
      </c>
      <c r="E7" s="13">
        <v>45807.0</v>
      </c>
      <c r="F7" s="18">
        <v>1000.0</v>
      </c>
    </row>
    <row r="8">
      <c r="A8" s="11">
        <v>7.0</v>
      </c>
      <c r="B8" s="13">
        <v>45807.0</v>
      </c>
      <c r="C8" s="15" t="s">
        <v>38</v>
      </c>
      <c r="D8" s="15" t="s">
        <v>9</v>
      </c>
      <c r="E8" s="13">
        <v>45958.0</v>
      </c>
      <c r="F8" s="18">
        <v>1000.0</v>
      </c>
    </row>
    <row r="9">
      <c r="A9" s="11">
        <v>8.0</v>
      </c>
      <c r="B9" s="13">
        <v>45807.0</v>
      </c>
      <c r="C9" s="15" t="s">
        <v>41</v>
      </c>
      <c r="D9" s="15" t="s">
        <v>27</v>
      </c>
      <c r="E9" s="13">
        <v>45807.0</v>
      </c>
      <c r="F9" s="18">
        <v>500.0</v>
      </c>
    </row>
    <row r="10">
      <c r="A10" s="11">
        <v>9.0</v>
      </c>
      <c r="B10" s="13">
        <v>45807.0</v>
      </c>
      <c r="C10" s="15" t="s">
        <v>44</v>
      </c>
      <c r="D10" s="15" t="s">
        <v>27</v>
      </c>
      <c r="E10" s="13">
        <v>45807.0</v>
      </c>
      <c r="F10" s="18">
        <v>1200.0</v>
      </c>
    </row>
    <row r="11">
      <c r="A11" s="11">
        <v>10.0</v>
      </c>
      <c r="B11" s="13">
        <v>45807.0</v>
      </c>
      <c r="C11" s="15" t="s">
        <v>50</v>
      </c>
      <c r="D11" s="15" t="s">
        <v>16</v>
      </c>
      <c r="E11" s="13">
        <v>45807.0</v>
      </c>
      <c r="F11" s="18">
        <v>7000.0</v>
      </c>
    </row>
    <row r="12">
      <c r="A12" s="11">
        <v>11.0</v>
      </c>
      <c r="B12" s="13">
        <v>45807.0</v>
      </c>
      <c r="C12" s="15" t="s">
        <v>53</v>
      </c>
      <c r="D12" s="15" t="s">
        <v>27</v>
      </c>
      <c r="E12" s="13">
        <v>45807.0</v>
      </c>
      <c r="F12" s="18">
        <v>310.0</v>
      </c>
    </row>
    <row r="13">
      <c r="A13" s="11">
        <v>12.0</v>
      </c>
      <c r="B13" s="13">
        <v>45808.0</v>
      </c>
      <c r="C13" s="15" t="s">
        <v>55</v>
      </c>
      <c r="D13" s="15" t="s">
        <v>9</v>
      </c>
      <c r="E13" s="13">
        <v>45958.0</v>
      </c>
      <c r="F13" s="18">
        <v>7000.0</v>
      </c>
    </row>
    <row r="14">
      <c r="A14" s="11">
        <v>12.0</v>
      </c>
      <c r="B14" s="13">
        <v>45808.0</v>
      </c>
      <c r="C14" s="15" t="s">
        <v>58</v>
      </c>
      <c r="D14" s="15" t="s">
        <v>9</v>
      </c>
      <c r="E14" s="13">
        <v>45958.0</v>
      </c>
      <c r="F14" s="18">
        <v>14000.0</v>
      </c>
    </row>
    <row r="15">
      <c r="A15" s="11">
        <v>12.0</v>
      </c>
      <c r="B15" s="13">
        <v>45808.0</v>
      </c>
      <c r="C15" s="15" t="s">
        <v>59</v>
      </c>
      <c r="D15" s="15" t="s">
        <v>9</v>
      </c>
      <c r="E15" s="13">
        <v>45958.0</v>
      </c>
      <c r="F15" s="18">
        <v>30000.0</v>
      </c>
    </row>
    <row r="16">
      <c r="A16" s="11">
        <v>13.0</v>
      </c>
      <c r="B16" s="13">
        <v>45810.0</v>
      </c>
      <c r="C16" s="15" t="s">
        <v>60</v>
      </c>
      <c r="D16" s="15" t="s">
        <v>43</v>
      </c>
      <c r="E16" s="13">
        <v>45810.0</v>
      </c>
      <c r="F16" s="18">
        <v>140.0</v>
      </c>
    </row>
    <row r="17">
      <c r="A17" s="11">
        <v>14.0</v>
      </c>
      <c r="B17" s="13">
        <v>45814.0</v>
      </c>
      <c r="C17" s="15" t="s">
        <v>59</v>
      </c>
      <c r="D17" s="15" t="s">
        <v>9</v>
      </c>
      <c r="E17" s="13">
        <v>45958.0</v>
      </c>
      <c r="F17" s="18">
        <v>50000.0</v>
      </c>
    </row>
    <row r="18">
      <c r="A18" s="11">
        <v>14.0</v>
      </c>
      <c r="B18" s="13">
        <v>45814.0</v>
      </c>
      <c r="C18" s="15" t="s">
        <v>63</v>
      </c>
      <c r="D18" s="15" t="s">
        <v>9</v>
      </c>
      <c r="E18" s="13">
        <v>45958.0</v>
      </c>
      <c r="F18" s="18">
        <v>3850.0</v>
      </c>
    </row>
    <row r="19">
      <c r="A19" s="11">
        <v>15.0</v>
      </c>
      <c r="B19" s="13">
        <v>45816.0</v>
      </c>
      <c r="C19" s="15" t="s">
        <v>64</v>
      </c>
      <c r="D19" s="15" t="s">
        <v>43</v>
      </c>
      <c r="E19" s="13">
        <v>45816.0</v>
      </c>
      <c r="F19" s="18">
        <v>290.0</v>
      </c>
    </row>
    <row r="20">
      <c r="A20" s="11">
        <v>16.0</v>
      </c>
      <c r="B20" s="13">
        <v>45816.0</v>
      </c>
      <c r="C20" s="15" t="s">
        <v>65</v>
      </c>
      <c r="D20" s="15" t="s">
        <v>43</v>
      </c>
      <c r="E20" s="13">
        <v>45816.0</v>
      </c>
      <c r="F20" s="18">
        <v>350.0</v>
      </c>
    </row>
    <row r="21">
      <c r="A21" s="11">
        <v>17.0</v>
      </c>
      <c r="B21" s="13">
        <v>45817.0</v>
      </c>
      <c r="C21" s="15" t="s">
        <v>68</v>
      </c>
      <c r="D21" s="15" t="s">
        <v>9</v>
      </c>
      <c r="E21" s="13">
        <v>45958.0</v>
      </c>
      <c r="F21" s="18">
        <v>29200.0</v>
      </c>
    </row>
    <row r="22">
      <c r="A22" s="11">
        <v>18.0</v>
      </c>
      <c r="B22" s="13">
        <v>45818.0</v>
      </c>
      <c r="C22" s="15" t="s">
        <v>69</v>
      </c>
      <c r="D22" s="15" t="s">
        <v>43</v>
      </c>
      <c r="E22" s="13">
        <v>45818.0</v>
      </c>
      <c r="F22" s="18">
        <v>310.0</v>
      </c>
    </row>
    <row r="23">
      <c r="A23" s="11">
        <v>19.0</v>
      </c>
      <c r="B23" s="13">
        <v>45822.0</v>
      </c>
      <c r="C23" s="15" t="s">
        <v>68</v>
      </c>
      <c r="D23" s="15" t="s">
        <v>9</v>
      </c>
      <c r="E23" s="13">
        <v>45958.0</v>
      </c>
      <c r="F23" s="18">
        <v>8200.0</v>
      </c>
    </row>
    <row r="24">
      <c r="A24" s="11">
        <v>20.0</v>
      </c>
      <c r="B24" s="13">
        <v>45826.0</v>
      </c>
      <c r="C24" s="15" t="s">
        <v>68</v>
      </c>
      <c r="D24" s="15" t="s">
        <v>9</v>
      </c>
      <c r="E24" s="13">
        <v>45958.0</v>
      </c>
      <c r="F24" s="18">
        <v>41401.0</v>
      </c>
    </row>
    <row r="25">
      <c r="A25" s="11">
        <v>21.0</v>
      </c>
      <c r="B25" s="13">
        <v>45826.0</v>
      </c>
      <c r="C25" s="15" t="s">
        <v>72</v>
      </c>
      <c r="D25" s="15" t="s">
        <v>9</v>
      </c>
      <c r="E25" s="13">
        <v>45958.0</v>
      </c>
      <c r="F25" s="18">
        <v>9000.0</v>
      </c>
    </row>
    <row r="26">
      <c r="A26" s="11">
        <v>22.0</v>
      </c>
      <c r="B26" s="13">
        <v>45826.0</v>
      </c>
      <c r="C26" s="15" t="s">
        <v>72</v>
      </c>
      <c r="D26" s="15" t="s">
        <v>9</v>
      </c>
      <c r="E26" s="13">
        <v>45958.0</v>
      </c>
      <c r="F26" s="18">
        <v>1500.0</v>
      </c>
    </row>
    <row r="27">
      <c r="A27" s="11">
        <v>23.0</v>
      </c>
      <c r="B27" s="13">
        <v>45830.0</v>
      </c>
      <c r="C27" s="15" t="s">
        <v>63</v>
      </c>
      <c r="D27" s="15" t="s">
        <v>9</v>
      </c>
      <c r="E27" s="13">
        <v>45958.0</v>
      </c>
      <c r="F27" s="18">
        <v>3850.0</v>
      </c>
    </row>
    <row r="28">
      <c r="A28" s="11">
        <v>24.0</v>
      </c>
      <c r="B28" s="13">
        <v>45830.0</v>
      </c>
      <c r="C28" s="15" t="s">
        <v>76</v>
      </c>
      <c r="D28" s="15" t="s">
        <v>9</v>
      </c>
      <c r="E28" s="13">
        <v>45958.0</v>
      </c>
      <c r="F28" s="18">
        <v>1750.0</v>
      </c>
    </row>
    <row r="29">
      <c r="A29" s="11">
        <v>25.0</v>
      </c>
      <c r="B29" s="13">
        <v>45831.0</v>
      </c>
      <c r="C29" s="15" t="s">
        <v>79</v>
      </c>
      <c r="D29" s="15" t="s">
        <v>43</v>
      </c>
      <c r="E29" s="13">
        <v>45831.0</v>
      </c>
      <c r="F29" s="18">
        <v>360.0</v>
      </c>
    </row>
    <row r="30">
      <c r="A30" s="11">
        <v>26.0</v>
      </c>
      <c r="B30" s="13">
        <v>45834.0</v>
      </c>
      <c r="C30" s="15" t="s">
        <v>80</v>
      </c>
      <c r="D30" s="15" t="s">
        <v>9</v>
      </c>
      <c r="E30" s="13">
        <v>45958.0</v>
      </c>
      <c r="F30" s="18">
        <v>150000.0</v>
      </c>
    </row>
    <row r="31">
      <c r="A31" s="11">
        <v>27.0</v>
      </c>
      <c r="B31" s="13">
        <v>45847.0</v>
      </c>
      <c r="C31" s="15" t="s">
        <v>81</v>
      </c>
      <c r="D31" s="15" t="s">
        <v>43</v>
      </c>
      <c r="E31" s="13">
        <v>45847.0</v>
      </c>
      <c r="F31" s="18">
        <v>2005.0</v>
      </c>
    </row>
    <row r="32">
      <c r="A32" s="11">
        <v>28.0</v>
      </c>
      <c r="B32" s="13">
        <v>45847.0</v>
      </c>
      <c r="C32" s="15" t="s">
        <v>84</v>
      </c>
      <c r="D32" s="15" t="s">
        <v>9</v>
      </c>
      <c r="E32" s="13">
        <v>45847.0</v>
      </c>
      <c r="F32" s="18">
        <v>880.0</v>
      </c>
    </row>
    <row r="33">
      <c r="A33" s="11">
        <v>29.0</v>
      </c>
      <c r="B33" s="13">
        <v>45847.0</v>
      </c>
      <c r="C33" s="15" t="s">
        <v>85</v>
      </c>
      <c r="D33" s="15" t="s">
        <v>43</v>
      </c>
      <c r="E33" s="13">
        <v>45847.0</v>
      </c>
      <c r="F33" s="18">
        <v>440.0</v>
      </c>
    </row>
    <row r="34">
      <c r="A34" s="11">
        <v>30.0</v>
      </c>
      <c r="B34" s="13">
        <v>45855.0</v>
      </c>
      <c r="C34" s="15" t="s">
        <v>86</v>
      </c>
      <c r="D34" s="15" t="s">
        <v>43</v>
      </c>
      <c r="E34" s="13">
        <v>45855.0</v>
      </c>
      <c r="F34" s="18">
        <v>1000.0</v>
      </c>
    </row>
    <row r="35">
      <c r="A35" s="11">
        <v>31.0</v>
      </c>
      <c r="B35" s="13">
        <v>45836.0</v>
      </c>
      <c r="C35" s="15" t="s">
        <v>88</v>
      </c>
      <c r="D35" s="15" t="s">
        <v>9</v>
      </c>
      <c r="E35" s="13">
        <v>45836.0</v>
      </c>
      <c r="F35" s="18">
        <v>1500.0</v>
      </c>
    </row>
    <row r="36">
      <c r="A36" s="11">
        <v>32.0</v>
      </c>
      <c r="B36" s="13">
        <v>45836.0</v>
      </c>
      <c r="C36" s="15" t="s">
        <v>93</v>
      </c>
      <c r="D36" s="15" t="s">
        <v>9</v>
      </c>
      <c r="E36" s="13">
        <v>45958.0</v>
      </c>
      <c r="F36" s="18">
        <v>6000.0</v>
      </c>
    </row>
    <row r="37">
      <c r="A37" s="11">
        <v>33.0</v>
      </c>
      <c r="B37" s="13">
        <v>45845.0</v>
      </c>
      <c r="C37" s="15" t="s">
        <v>97</v>
      </c>
      <c r="D37" s="15" t="s">
        <v>9</v>
      </c>
      <c r="E37" s="13">
        <v>45845.0</v>
      </c>
      <c r="F37" s="18">
        <v>10000.0</v>
      </c>
    </row>
    <row r="38">
      <c r="A38" s="11">
        <v>34.0</v>
      </c>
      <c r="B38" s="13">
        <v>45839.0</v>
      </c>
      <c r="C38" s="15" t="s">
        <v>98</v>
      </c>
      <c r="D38" s="15" t="s">
        <v>27</v>
      </c>
      <c r="E38" s="13">
        <v>45839.0</v>
      </c>
      <c r="F38" s="18">
        <v>700.0</v>
      </c>
    </row>
    <row r="39">
      <c r="A39" s="11">
        <v>35.0</v>
      </c>
      <c r="B39" s="13">
        <v>45846.0</v>
      </c>
      <c r="C39" s="15" t="s">
        <v>99</v>
      </c>
      <c r="D39" s="15" t="s">
        <v>27</v>
      </c>
      <c r="E39" s="13">
        <v>45846.0</v>
      </c>
      <c r="F39" s="18">
        <v>700.0</v>
      </c>
    </row>
    <row r="40">
      <c r="A40" s="11">
        <v>36.0</v>
      </c>
      <c r="B40" s="13">
        <v>45853.0</v>
      </c>
      <c r="C40" s="15" t="s">
        <v>102</v>
      </c>
      <c r="D40" s="15" t="s">
        <v>27</v>
      </c>
      <c r="E40" s="13">
        <v>45853.0</v>
      </c>
      <c r="F40" s="18">
        <v>700.0</v>
      </c>
    </row>
    <row r="41">
      <c r="A41" s="11">
        <v>37.0</v>
      </c>
      <c r="B41" s="13">
        <v>45855.0</v>
      </c>
      <c r="C41" s="15" t="s">
        <v>103</v>
      </c>
      <c r="D41" s="15" t="s">
        <v>9</v>
      </c>
      <c r="E41" s="13">
        <v>45958.0</v>
      </c>
      <c r="F41" s="18">
        <v>2100.0</v>
      </c>
    </row>
    <row r="42">
      <c r="A42" s="11">
        <v>38.0</v>
      </c>
      <c r="B42" s="13">
        <v>45852.0</v>
      </c>
      <c r="C42" s="15" t="s">
        <v>105</v>
      </c>
      <c r="D42" s="15" t="s">
        <v>43</v>
      </c>
      <c r="E42" s="13">
        <v>45852.0</v>
      </c>
      <c r="F42" s="18">
        <v>600.0</v>
      </c>
    </row>
    <row r="43">
      <c r="A43" s="11">
        <v>39.0</v>
      </c>
      <c r="B43" s="13">
        <v>45849.0</v>
      </c>
      <c r="C43" s="15" t="s">
        <v>108</v>
      </c>
      <c r="D43" s="15" t="s">
        <v>43</v>
      </c>
      <c r="E43" s="13">
        <v>45849.0</v>
      </c>
      <c r="F43" s="18">
        <v>320.0</v>
      </c>
    </row>
    <row r="44">
      <c r="A44" s="11">
        <v>40.0</v>
      </c>
      <c r="B44" s="13">
        <v>45854.0</v>
      </c>
      <c r="C44" s="15" t="s">
        <v>109</v>
      </c>
      <c r="D44" s="15" t="s">
        <v>9</v>
      </c>
      <c r="E44" s="13">
        <v>45854.0</v>
      </c>
      <c r="F44" s="18">
        <v>4465.0</v>
      </c>
    </row>
    <row r="45">
      <c r="A45" s="11">
        <v>41.0</v>
      </c>
      <c r="B45" s="13">
        <v>45860.0</v>
      </c>
      <c r="C45" s="15" t="s">
        <v>102</v>
      </c>
      <c r="D45" s="15" t="s">
        <v>27</v>
      </c>
      <c r="E45" s="13">
        <v>45860.0</v>
      </c>
      <c r="F45" s="18">
        <v>700.0</v>
      </c>
    </row>
    <row r="46">
      <c r="A46" s="11">
        <v>42.0</v>
      </c>
      <c r="B46" s="13">
        <v>45860.0</v>
      </c>
      <c r="C46" s="15" t="s">
        <v>112</v>
      </c>
      <c r="D46" s="47"/>
      <c r="E46" s="47"/>
      <c r="F46" s="18">
        <v>1000.0</v>
      </c>
    </row>
    <row r="47">
      <c r="A47" s="11">
        <v>43.0</v>
      </c>
      <c r="B47" s="13">
        <v>45860.0</v>
      </c>
      <c r="C47" s="15" t="s">
        <v>113</v>
      </c>
      <c r="D47" s="15" t="s">
        <v>9</v>
      </c>
      <c r="E47" s="13">
        <v>45860.0</v>
      </c>
      <c r="F47" s="18">
        <v>450.0</v>
      </c>
    </row>
    <row r="48">
      <c r="A48" s="11">
        <v>44.0</v>
      </c>
      <c r="B48" s="13">
        <v>45860.0</v>
      </c>
      <c r="C48" s="15" t="s">
        <v>115</v>
      </c>
      <c r="D48" s="15" t="s">
        <v>9</v>
      </c>
      <c r="E48" s="13">
        <v>45860.0</v>
      </c>
      <c r="F48" s="18">
        <v>560.0</v>
      </c>
    </row>
    <row r="49">
      <c r="A49" s="11">
        <v>45.0</v>
      </c>
      <c r="B49" s="13">
        <v>45860.0</v>
      </c>
      <c r="C49" s="15" t="s">
        <v>119</v>
      </c>
      <c r="D49" s="47"/>
      <c r="E49" s="47"/>
      <c r="F49" s="18">
        <v>3400.0</v>
      </c>
    </row>
    <row r="50">
      <c r="A50" s="11">
        <v>46.0</v>
      </c>
      <c r="B50" s="13">
        <v>45861.0</v>
      </c>
      <c r="C50" s="15" t="s">
        <v>122</v>
      </c>
      <c r="D50" s="47"/>
      <c r="E50" s="47"/>
      <c r="F50" s="18">
        <v>500.0</v>
      </c>
    </row>
    <row r="51">
      <c r="A51" s="11">
        <v>47.0</v>
      </c>
      <c r="B51" s="13">
        <v>45861.0</v>
      </c>
      <c r="C51" s="15" t="s">
        <v>123</v>
      </c>
      <c r="D51" s="47"/>
      <c r="E51" s="47"/>
      <c r="F51" s="18">
        <v>240.0</v>
      </c>
    </row>
    <row r="52">
      <c r="A52" s="11">
        <v>48.0</v>
      </c>
      <c r="B52" s="13">
        <v>45860.0</v>
      </c>
      <c r="C52" s="15" t="s">
        <v>126</v>
      </c>
      <c r="D52" s="15" t="s">
        <v>27</v>
      </c>
      <c r="E52" s="13">
        <v>45860.0</v>
      </c>
      <c r="F52" s="18">
        <v>1000.0</v>
      </c>
    </row>
    <row r="53">
      <c r="A53" s="11">
        <v>49.0</v>
      </c>
      <c r="B53" s="13">
        <v>45860.0</v>
      </c>
      <c r="C53" s="15" t="s">
        <v>130</v>
      </c>
      <c r="D53" s="15" t="s">
        <v>27</v>
      </c>
      <c r="E53" s="13">
        <v>45860.0</v>
      </c>
      <c r="F53" s="18">
        <v>1740.0</v>
      </c>
    </row>
    <row r="54">
      <c r="A54" s="11">
        <v>50.0</v>
      </c>
      <c r="B54" s="13">
        <v>45860.0</v>
      </c>
      <c r="C54" s="15" t="s">
        <v>134</v>
      </c>
      <c r="D54" s="15" t="s">
        <v>43</v>
      </c>
      <c r="E54" s="13">
        <v>45858.0</v>
      </c>
      <c r="F54" s="18">
        <v>3600.0</v>
      </c>
    </row>
    <row r="55">
      <c r="A55" s="11">
        <v>51.0</v>
      </c>
      <c r="B55" s="13">
        <v>45863.0</v>
      </c>
      <c r="C55" s="15" t="s">
        <v>138</v>
      </c>
      <c r="D55" s="15" t="s">
        <v>43</v>
      </c>
      <c r="E55" s="13">
        <v>45863.0</v>
      </c>
      <c r="F55" s="18">
        <v>5430.0</v>
      </c>
    </row>
    <row r="56">
      <c r="A56" s="11">
        <v>52.0</v>
      </c>
      <c r="B56" s="13">
        <v>45857.0</v>
      </c>
      <c r="C56" s="15" t="s">
        <v>141</v>
      </c>
      <c r="D56" s="15" t="s">
        <v>43</v>
      </c>
      <c r="E56" s="13">
        <v>45857.0</v>
      </c>
      <c r="F56" s="18">
        <v>70.0</v>
      </c>
    </row>
    <row r="57">
      <c r="A57" s="11">
        <v>53.0</v>
      </c>
      <c r="B57" s="13">
        <v>45857.0</v>
      </c>
      <c r="C57" s="15" t="s">
        <v>143</v>
      </c>
      <c r="D57" s="15" t="s">
        <v>43</v>
      </c>
      <c r="E57" s="13">
        <v>45857.0</v>
      </c>
      <c r="F57" s="18">
        <v>200.0</v>
      </c>
    </row>
    <row r="58">
      <c r="A58" s="11">
        <v>54.0</v>
      </c>
      <c r="B58" s="13">
        <v>45864.0</v>
      </c>
      <c r="C58" s="15" t="s">
        <v>144</v>
      </c>
      <c r="D58" s="15" t="s">
        <v>43</v>
      </c>
      <c r="E58" s="13">
        <v>45864.0</v>
      </c>
      <c r="F58" s="18">
        <v>600.0</v>
      </c>
    </row>
    <row r="59">
      <c r="A59" s="11">
        <v>55.0</v>
      </c>
      <c r="B59" s="13">
        <v>45865.0</v>
      </c>
      <c r="C59" s="15" t="s">
        <v>146</v>
      </c>
      <c r="D59" s="15" t="s">
        <v>9</v>
      </c>
      <c r="E59" s="13">
        <v>45865.0</v>
      </c>
      <c r="F59" s="18">
        <v>375.0</v>
      </c>
    </row>
    <row r="60">
      <c r="A60" s="11">
        <v>56.0</v>
      </c>
      <c r="B60" s="13">
        <v>45865.0</v>
      </c>
      <c r="C60" s="15" t="s">
        <v>148</v>
      </c>
      <c r="D60" s="15" t="s">
        <v>43</v>
      </c>
      <c r="E60" s="13">
        <v>45865.0</v>
      </c>
      <c r="F60" s="18">
        <v>300.0</v>
      </c>
    </row>
    <row r="61">
      <c r="A61" s="11">
        <v>57.0</v>
      </c>
      <c r="B61" s="13">
        <v>45865.0</v>
      </c>
      <c r="C61" s="15" t="s">
        <v>149</v>
      </c>
      <c r="D61" s="15" t="s">
        <v>43</v>
      </c>
      <c r="E61" s="13">
        <v>45865.0</v>
      </c>
      <c r="F61" s="18">
        <v>1500.0</v>
      </c>
    </row>
    <row r="62">
      <c r="A62" s="11">
        <v>58.0</v>
      </c>
      <c r="B62" s="13">
        <v>45865.0</v>
      </c>
      <c r="C62" s="15" t="s">
        <v>151</v>
      </c>
      <c r="D62" s="15" t="s">
        <v>43</v>
      </c>
      <c r="E62" s="13" t="s">
        <v>153</v>
      </c>
      <c r="F62" s="18">
        <v>2720.0</v>
      </c>
    </row>
    <row r="63">
      <c r="A63" s="11">
        <v>59.0</v>
      </c>
      <c r="B63" s="13">
        <v>45865.0</v>
      </c>
      <c r="C63" s="15" t="s">
        <v>156</v>
      </c>
      <c r="D63" s="47"/>
      <c r="E63" s="47"/>
      <c r="F63" s="18">
        <v>550.0</v>
      </c>
    </row>
    <row r="64">
      <c r="A64" s="11">
        <v>60.0</v>
      </c>
      <c r="B64" s="13">
        <v>45865.0</v>
      </c>
      <c r="C64" s="15" t="s">
        <v>159</v>
      </c>
      <c r="D64" s="15" t="s">
        <v>43</v>
      </c>
      <c r="E64" s="13">
        <v>45865.0</v>
      </c>
      <c r="F64" s="18">
        <v>800.0</v>
      </c>
    </row>
    <row r="65">
      <c r="A65" s="11">
        <v>61.0</v>
      </c>
      <c r="B65" s="13">
        <v>45866.0</v>
      </c>
      <c r="C65" s="15" t="s">
        <v>160</v>
      </c>
      <c r="D65" s="15" t="s">
        <v>43</v>
      </c>
      <c r="E65" s="13">
        <v>45878.0</v>
      </c>
      <c r="F65" s="18">
        <v>1500.0</v>
      </c>
    </row>
    <row r="66">
      <c r="A66" s="11">
        <v>62.0</v>
      </c>
      <c r="B66" s="13">
        <v>45866.0</v>
      </c>
      <c r="C66" s="15" t="s">
        <v>163</v>
      </c>
      <c r="D66" s="15" t="s">
        <v>43</v>
      </c>
      <c r="E66" s="13">
        <v>45866.0</v>
      </c>
      <c r="F66" s="18">
        <v>700.0</v>
      </c>
    </row>
    <row r="67">
      <c r="A67" s="11">
        <v>63.0</v>
      </c>
      <c r="B67" s="13">
        <v>45867.0</v>
      </c>
      <c r="C67" s="15" t="s">
        <v>165</v>
      </c>
      <c r="D67" s="15" t="s">
        <v>43</v>
      </c>
      <c r="E67" s="13">
        <v>45867.0</v>
      </c>
      <c r="F67" s="18">
        <v>3200.0</v>
      </c>
    </row>
    <row r="68">
      <c r="A68" s="11">
        <v>64.0</v>
      </c>
      <c r="B68" s="13">
        <v>45868.0</v>
      </c>
      <c r="C68" s="15" t="s">
        <v>167</v>
      </c>
      <c r="D68" s="15" t="s">
        <v>9</v>
      </c>
      <c r="E68" s="13">
        <v>45958.0</v>
      </c>
      <c r="F68" s="18">
        <v>63650.0</v>
      </c>
    </row>
    <row r="69">
      <c r="A69" s="11">
        <v>65.0</v>
      </c>
      <c r="B69" s="13">
        <v>45866.0</v>
      </c>
      <c r="C69" s="15" t="s">
        <v>168</v>
      </c>
      <c r="D69" s="15" t="s">
        <v>43</v>
      </c>
      <c r="E69" s="13">
        <v>45866.0</v>
      </c>
      <c r="F69" s="18">
        <v>800.0</v>
      </c>
    </row>
    <row r="70">
      <c r="A70" s="11">
        <v>66.0</v>
      </c>
      <c r="B70" s="13">
        <v>45871.0</v>
      </c>
      <c r="C70" s="15" t="s">
        <v>172</v>
      </c>
      <c r="D70" s="15" t="s">
        <v>43</v>
      </c>
      <c r="E70" s="13">
        <v>45871.0</v>
      </c>
      <c r="F70" s="18">
        <v>330.0</v>
      </c>
    </row>
    <row r="71">
      <c r="A71" s="11">
        <v>67.0</v>
      </c>
      <c r="B71" s="13">
        <v>45873.0</v>
      </c>
      <c r="C71" s="15" t="s">
        <v>176</v>
      </c>
      <c r="D71" s="15" t="s">
        <v>43</v>
      </c>
      <c r="E71" s="13">
        <v>45873.0</v>
      </c>
      <c r="F71" s="18">
        <v>85.0</v>
      </c>
    </row>
    <row r="72">
      <c r="A72" s="11">
        <v>68.0</v>
      </c>
      <c r="B72" s="13">
        <v>45869.0</v>
      </c>
      <c r="C72" s="15" t="s">
        <v>178</v>
      </c>
      <c r="D72" s="15" t="s">
        <v>9</v>
      </c>
      <c r="E72" s="13">
        <v>45869.0</v>
      </c>
      <c r="F72" s="18">
        <v>27027.0</v>
      </c>
    </row>
    <row r="73">
      <c r="A73" s="11">
        <v>69.0</v>
      </c>
      <c r="B73" s="13">
        <v>45874.0</v>
      </c>
      <c r="C73" s="15" t="s">
        <v>182</v>
      </c>
      <c r="D73" s="15" t="s">
        <v>27</v>
      </c>
      <c r="E73" s="13">
        <v>45874.0</v>
      </c>
      <c r="F73" s="18">
        <v>600.0</v>
      </c>
    </row>
    <row r="74">
      <c r="A74" s="11">
        <v>70.0</v>
      </c>
      <c r="B74" s="13">
        <v>45876.0</v>
      </c>
      <c r="C74" s="15" t="s">
        <v>167</v>
      </c>
      <c r="D74" s="15" t="s">
        <v>9</v>
      </c>
      <c r="E74" s="13">
        <v>45958.0</v>
      </c>
      <c r="F74" s="18">
        <v>20000.0</v>
      </c>
    </row>
    <row r="75">
      <c r="A75" s="11">
        <v>71.0</v>
      </c>
      <c r="B75" s="13">
        <v>45873.0</v>
      </c>
      <c r="C75" s="15" t="s">
        <v>184</v>
      </c>
      <c r="D75" s="15" t="s">
        <v>43</v>
      </c>
      <c r="E75" s="13">
        <v>45873.0</v>
      </c>
      <c r="F75" s="18">
        <v>500.0</v>
      </c>
    </row>
    <row r="76">
      <c r="A76" s="11">
        <v>72.0</v>
      </c>
      <c r="B76" s="13">
        <v>45879.0</v>
      </c>
      <c r="C76" s="15" t="s">
        <v>186</v>
      </c>
      <c r="D76" s="47"/>
      <c r="E76" s="47"/>
      <c r="F76" s="18">
        <v>1840.0</v>
      </c>
    </row>
    <row r="77">
      <c r="A77" s="11">
        <v>73.0</v>
      </c>
      <c r="B77" s="13">
        <v>45881.0</v>
      </c>
      <c r="C77" s="15" t="s">
        <v>189</v>
      </c>
      <c r="D77" s="15" t="s">
        <v>43</v>
      </c>
      <c r="E77" s="13">
        <v>45880.0</v>
      </c>
      <c r="F77" s="18">
        <v>2600.0</v>
      </c>
    </row>
    <row r="78">
      <c r="A78" s="11">
        <v>74.0</v>
      </c>
      <c r="B78" s="13">
        <v>45881.0</v>
      </c>
      <c r="C78" s="15" t="s">
        <v>191</v>
      </c>
      <c r="D78" s="15" t="s">
        <v>27</v>
      </c>
      <c r="E78" s="13">
        <v>45883.0</v>
      </c>
      <c r="F78" s="18">
        <v>9300.0</v>
      </c>
    </row>
    <row r="79">
      <c r="A79" s="11">
        <v>75.0</v>
      </c>
      <c r="B79" s="13">
        <v>45881.0</v>
      </c>
      <c r="C79" s="15" t="s">
        <v>184</v>
      </c>
      <c r="D79" s="15" t="s">
        <v>43</v>
      </c>
      <c r="E79" s="13">
        <v>45881.0</v>
      </c>
      <c r="F79" s="18">
        <v>500.0</v>
      </c>
    </row>
    <row r="80">
      <c r="A80" s="11">
        <v>76.0</v>
      </c>
      <c r="B80" s="13">
        <v>45881.0</v>
      </c>
      <c r="C80" s="15" t="s">
        <v>194</v>
      </c>
      <c r="D80" s="15" t="s">
        <v>16</v>
      </c>
      <c r="E80" s="13">
        <v>45881.0</v>
      </c>
      <c r="F80" s="18">
        <v>19500.0</v>
      </c>
    </row>
    <row r="81">
      <c r="A81" s="11">
        <v>77.0</v>
      </c>
      <c r="B81" s="13">
        <v>45882.0</v>
      </c>
      <c r="C81" s="15" t="s">
        <v>197</v>
      </c>
      <c r="D81" s="15" t="s">
        <v>43</v>
      </c>
      <c r="E81" s="13">
        <v>45882.0</v>
      </c>
      <c r="F81" s="18">
        <v>603.0</v>
      </c>
    </row>
    <row r="82">
      <c r="A82" s="11">
        <v>78.0</v>
      </c>
      <c r="B82" s="13">
        <v>45882.0</v>
      </c>
      <c r="C82" s="15" t="s">
        <v>167</v>
      </c>
      <c r="D82" s="15" t="s">
        <v>9</v>
      </c>
      <c r="E82" s="13">
        <v>45958.0</v>
      </c>
      <c r="F82" s="18">
        <v>3000.0</v>
      </c>
    </row>
    <row r="83">
      <c r="A83" s="11">
        <v>79.0</v>
      </c>
      <c r="B83" s="13">
        <v>45883.0</v>
      </c>
      <c r="C83" s="15" t="s">
        <v>199</v>
      </c>
      <c r="D83" s="13" t="s">
        <v>43</v>
      </c>
      <c r="E83" s="13">
        <v>45883.0</v>
      </c>
      <c r="F83" s="18">
        <v>350.0</v>
      </c>
    </row>
    <row r="84">
      <c r="A84" s="11">
        <v>80.0</v>
      </c>
      <c r="B84" s="13">
        <v>45885.0</v>
      </c>
      <c r="C84" s="15" t="s">
        <v>167</v>
      </c>
      <c r="D84" s="15" t="s">
        <v>9</v>
      </c>
      <c r="E84" s="13">
        <v>45958.0</v>
      </c>
      <c r="F84" s="18">
        <v>5000.0</v>
      </c>
    </row>
    <row r="85">
      <c r="A85" s="60">
        <v>45659.0</v>
      </c>
      <c r="B85" s="13">
        <v>45885.0</v>
      </c>
      <c r="C85" s="15" t="s">
        <v>205</v>
      </c>
      <c r="D85" s="15" t="s">
        <v>9</v>
      </c>
      <c r="E85" s="13">
        <v>45884.0</v>
      </c>
      <c r="F85" s="18">
        <v>1050.0</v>
      </c>
    </row>
    <row r="86">
      <c r="A86" s="60">
        <v>45690.0</v>
      </c>
      <c r="B86" s="13">
        <v>45888.0</v>
      </c>
      <c r="C86" s="15" t="s">
        <v>167</v>
      </c>
      <c r="D86" s="15" t="s">
        <v>9</v>
      </c>
      <c r="E86" s="13">
        <v>45958.0</v>
      </c>
      <c r="F86" s="18">
        <v>30000.0</v>
      </c>
    </row>
    <row r="87">
      <c r="A87" s="60">
        <v>45718.0</v>
      </c>
      <c r="B87" s="13">
        <v>45885.0</v>
      </c>
      <c r="C87" s="15" t="s">
        <v>211</v>
      </c>
      <c r="D87" s="15" t="s">
        <v>27</v>
      </c>
      <c r="E87" s="13">
        <v>45884.0</v>
      </c>
      <c r="F87" s="18">
        <v>4840.0</v>
      </c>
    </row>
    <row r="88">
      <c r="A88" s="60">
        <v>45749.0</v>
      </c>
      <c r="B88" s="13">
        <v>45885.0</v>
      </c>
      <c r="C88" s="15" t="s">
        <v>212</v>
      </c>
      <c r="D88" s="15" t="s">
        <v>43</v>
      </c>
      <c r="E88" s="13" t="s">
        <v>153</v>
      </c>
      <c r="F88" s="18">
        <v>4000.0</v>
      </c>
    </row>
    <row r="89">
      <c r="A89" s="60">
        <v>45779.0</v>
      </c>
      <c r="B89" s="13">
        <v>45885.0</v>
      </c>
      <c r="C89" s="15" t="s">
        <v>214</v>
      </c>
      <c r="D89" s="15" t="s">
        <v>27</v>
      </c>
      <c r="E89" s="13">
        <v>45885.0</v>
      </c>
      <c r="F89" s="18">
        <v>840.0</v>
      </c>
    </row>
    <row r="90">
      <c r="A90" s="60">
        <v>45810.0</v>
      </c>
      <c r="B90" s="13">
        <v>45885.0</v>
      </c>
      <c r="C90" s="15" t="s">
        <v>216</v>
      </c>
      <c r="D90" s="15" t="s">
        <v>27</v>
      </c>
      <c r="E90" s="13">
        <v>45885.0</v>
      </c>
      <c r="F90" s="18">
        <v>1850.0</v>
      </c>
    </row>
    <row r="91">
      <c r="A91" s="60">
        <v>45840.0</v>
      </c>
      <c r="B91" s="13">
        <v>45885.0</v>
      </c>
      <c r="C91" s="15" t="s">
        <v>218</v>
      </c>
      <c r="D91" s="15" t="s">
        <v>27</v>
      </c>
      <c r="E91" s="13">
        <v>45885.0</v>
      </c>
      <c r="F91" s="18">
        <v>1000.0</v>
      </c>
    </row>
    <row r="92">
      <c r="A92" s="60">
        <v>45871.0</v>
      </c>
      <c r="B92" s="13">
        <v>45885.0</v>
      </c>
      <c r="C92" s="15" t="s">
        <v>220</v>
      </c>
      <c r="D92" s="15" t="s">
        <v>27</v>
      </c>
      <c r="E92" s="13">
        <v>45885.0</v>
      </c>
      <c r="F92" s="18">
        <v>1000.0</v>
      </c>
    </row>
    <row r="93">
      <c r="A93" s="60">
        <v>45902.0</v>
      </c>
      <c r="B93" s="13">
        <v>45885.0</v>
      </c>
      <c r="C93" s="15" t="s">
        <v>222</v>
      </c>
      <c r="D93" s="15" t="s">
        <v>27</v>
      </c>
      <c r="E93" s="13">
        <v>45884.0</v>
      </c>
      <c r="F93" s="18">
        <v>4000.0</v>
      </c>
    </row>
    <row r="94">
      <c r="A94" s="60">
        <v>45932.0</v>
      </c>
      <c r="B94" s="13">
        <v>45885.0</v>
      </c>
      <c r="C94" s="15" t="s">
        <v>226</v>
      </c>
      <c r="D94" s="15" t="s">
        <v>27</v>
      </c>
      <c r="E94" s="13">
        <v>45885.0</v>
      </c>
      <c r="F94" s="18">
        <v>1200.0</v>
      </c>
    </row>
    <row r="95">
      <c r="A95" s="60">
        <v>45963.0</v>
      </c>
      <c r="B95" s="13">
        <v>45885.0</v>
      </c>
      <c r="C95" s="15" t="s">
        <v>227</v>
      </c>
      <c r="D95" s="15" t="s">
        <v>43</v>
      </c>
      <c r="E95" s="13">
        <v>45885.0</v>
      </c>
      <c r="F95" s="18">
        <v>260.0</v>
      </c>
    </row>
    <row r="96">
      <c r="A96" s="60">
        <v>45993.0</v>
      </c>
      <c r="B96" s="13">
        <v>45884.0</v>
      </c>
      <c r="C96" s="15" t="s">
        <v>230</v>
      </c>
      <c r="D96" s="15" t="s">
        <v>27</v>
      </c>
      <c r="E96" s="13">
        <v>45884.0</v>
      </c>
      <c r="F96" s="18">
        <v>1500.0</v>
      </c>
    </row>
    <row r="97">
      <c r="A97" s="11" t="s">
        <v>232</v>
      </c>
      <c r="B97" s="13">
        <v>46250.0</v>
      </c>
      <c r="C97" s="15" t="s">
        <v>233</v>
      </c>
      <c r="D97" s="15" t="s">
        <v>43</v>
      </c>
      <c r="E97" s="13">
        <v>45885.0</v>
      </c>
      <c r="F97" s="18">
        <v>725.0</v>
      </c>
    </row>
    <row r="98">
      <c r="A98" s="11" t="s">
        <v>234</v>
      </c>
      <c r="B98" s="13">
        <v>45885.0</v>
      </c>
      <c r="C98" s="15" t="s">
        <v>235</v>
      </c>
      <c r="D98" s="15" t="s">
        <v>27</v>
      </c>
      <c r="E98" s="13">
        <v>45885.0</v>
      </c>
      <c r="F98" s="18">
        <v>300.0</v>
      </c>
    </row>
    <row r="99">
      <c r="A99" s="11" t="s">
        <v>237</v>
      </c>
      <c r="B99" s="13">
        <v>46253.0</v>
      </c>
      <c r="C99" s="15" t="s">
        <v>239</v>
      </c>
      <c r="D99" s="15" t="s">
        <v>43</v>
      </c>
      <c r="E99" s="13">
        <v>45888.0</v>
      </c>
      <c r="F99" s="18">
        <v>120.0</v>
      </c>
    </row>
    <row r="100">
      <c r="A100" s="11" t="s">
        <v>242</v>
      </c>
      <c r="B100" s="13">
        <v>45889.0</v>
      </c>
      <c r="C100" s="15" t="s">
        <v>244</v>
      </c>
      <c r="D100" s="15" t="s">
        <v>35</v>
      </c>
      <c r="E100" s="13">
        <v>45889.0</v>
      </c>
      <c r="F100" s="18">
        <v>7100.0</v>
      </c>
    </row>
    <row r="101">
      <c r="A101" s="11" t="s">
        <v>245</v>
      </c>
      <c r="B101" s="13">
        <v>45889.0</v>
      </c>
      <c r="C101" s="15" t="s">
        <v>246</v>
      </c>
      <c r="D101" s="15" t="s">
        <v>16</v>
      </c>
      <c r="E101" s="13">
        <v>45888.0</v>
      </c>
      <c r="F101" s="18">
        <v>5000.0</v>
      </c>
    </row>
    <row r="102">
      <c r="A102" s="11" t="s">
        <v>247</v>
      </c>
      <c r="B102" s="13">
        <v>45889.0</v>
      </c>
      <c r="C102" s="15" t="s">
        <v>248</v>
      </c>
      <c r="D102" s="15" t="s">
        <v>43</v>
      </c>
      <c r="E102" s="13">
        <v>45889.0</v>
      </c>
      <c r="F102" s="18">
        <v>840.0</v>
      </c>
    </row>
    <row r="103">
      <c r="A103" s="11" t="s">
        <v>250</v>
      </c>
      <c r="B103" s="13">
        <v>45892.0</v>
      </c>
      <c r="C103" s="15" t="s">
        <v>252</v>
      </c>
      <c r="D103" s="15" t="s">
        <v>51</v>
      </c>
      <c r="E103" s="13">
        <v>45885.0</v>
      </c>
      <c r="F103" s="18">
        <v>16500.0</v>
      </c>
    </row>
    <row r="104">
      <c r="A104" s="11" t="s">
        <v>254</v>
      </c>
      <c r="B104" s="13">
        <v>45892.0</v>
      </c>
      <c r="C104" s="15" t="s">
        <v>255</v>
      </c>
      <c r="D104" s="15" t="s">
        <v>9</v>
      </c>
      <c r="E104" s="13">
        <v>45892.0</v>
      </c>
      <c r="F104" s="18">
        <v>10000.0</v>
      </c>
    </row>
    <row r="105">
      <c r="A105" s="11" t="s">
        <v>256</v>
      </c>
      <c r="B105" s="13">
        <v>45894.0</v>
      </c>
      <c r="C105" s="15" t="s">
        <v>257</v>
      </c>
      <c r="D105" s="15" t="s">
        <v>27</v>
      </c>
      <c r="E105" s="13">
        <v>45885.0</v>
      </c>
      <c r="F105" s="18">
        <v>33000.0</v>
      </c>
    </row>
    <row r="106">
      <c r="A106" s="11" t="s">
        <v>259</v>
      </c>
      <c r="B106" s="13">
        <v>45894.0</v>
      </c>
      <c r="C106" s="15" t="s">
        <v>261</v>
      </c>
      <c r="D106" s="15" t="s">
        <v>9</v>
      </c>
      <c r="E106" s="13">
        <v>45890.0</v>
      </c>
      <c r="F106" s="18">
        <v>12500.0</v>
      </c>
    </row>
    <row r="107">
      <c r="A107" s="11" t="s">
        <v>263</v>
      </c>
      <c r="B107" s="13">
        <v>45895.0</v>
      </c>
      <c r="C107" s="15" t="s">
        <v>265</v>
      </c>
      <c r="D107" s="15" t="s">
        <v>9</v>
      </c>
      <c r="E107" s="13">
        <v>45894.0</v>
      </c>
      <c r="F107" s="18">
        <v>19500.0</v>
      </c>
    </row>
    <row r="108">
      <c r="A108" s="11" t="s">
        <v>266</v>
      </c>
      <c r="B108" s="13">
        <v>45895.0</v>
      </c>
      <c r="C108" s="15" t="s">
        <v>267</v>
      </c>
      <c r="D108" s="47"/>
      <c r="E108" s="47"/>
      <c r="F108" s="18">
        <v>1000.0</v>
      </c>
    </row>
    <row r="109">
      <c r="A109" s="11" t="s">
        <v>268</v>
      </c>
      <c r="B109" s="13">
        <v>45896.0</v>
      </c>
      <c r="C109" s="15" t="s">
        <v>255</v>
      </c>
      <c r="D109" s="15" t="s">
        <v>9</v>
      </c>
      <c r="E109" s="13">
        <v>45896.0</v>
      </c>
      <c r="F109" s="18">
        <v>20000.0</v>
      </c>
    </row>
    <row r="110">
      <c r="A110" s="11" t="s">
        <v>271</v>
      </c>
      <c r="B110" s="13">
        <v>45896.0</v>
      </c>
      <c r="C110" s="15" t="s">
        <v>272</v>
      </c>
      <c r="D110" s="15" t="s">
        <v>9</v>
      </c>
      <c r="E110" s="13">
        <v>45896.0</v>
      </c>
      <c r="F110" s="18">
        <v>17000.0</v>
      </c>
    </row>
    <row r="111">
      <c r="A111" s="11" t="s">
        <v>274</v>
      </c>
      <c r="B111" s="13">
        <v>45899.0</v>
      </c>
      <c r="C111" s="15" t="s">
        <v>167</v>
      </c>
      <c r="D111" s="15" t="s">
        <v>9</v>
      </c>
      <c r="E111" s="13">
        <v>45958.0</v>
      </c>
      <c r="F111" s="18">
        <v>30000.0</v>
      </c>
    </row>
    <row r="112">
      <c r="A112" s="11" t="s">
        <v>276</v>
      </c>
      <c r="B112" s="13">
        <v>45903.0</v>
      </c>
      <c r="C112" s="15" t="s">
        <v>277</v>
      </c>
      <c r="D112" s="15" t="s">
        <v>9</v>
      </c>
      <c r="E112" s="13">
        <v>45903.0</v>
      </c>
      <c r="F112" s="18">
        <v>35000.0</v>
      </c>
    </row>
    <row r="113">
      <c r="A113" s="11" t="s">
        <v>279</v>
      </c>
      <c r="B113" s="13">
        <v>45903.0</v>
      </c>
      <c r="C113" s="15" t="s">
        <v>281</v>
      </c>
      <c r="D113" s="15" t="s">
        <v>43</v>
      </c>
      <c r="E113" s="13">
        <v>45903.0</v>
      </c>
      <c r="F113" s="18">
        <v>900.0</v>
      </c>
    </row>
    <row r="114">
      <c r="A114" s="11" t="s">
        <v>283</v>
      </c>
      <c r="B114" s="13">
        <v>45899.0</v>
      </c>
      <c r="C114" s="15" t="s">
        <v>285</v>
      </c>
      <c r="D114" s="47"/>
      <c r="E114" s="47"/>
      <c r="F114" s="18">
        <v>6050.0</v>
      </c>
    </row>
    <row r="115">
      <c r="A115" s="11" t="s">
        <v>286</v>
      </c>
      <c r="B115" s="13">
        <v>45899.0</v>
      </c>
      <c r="C115" s="15" t="s">
        <v>289</v>
      </c>
      <c r="D115" s="15" t="s">
        <v>16</v>
      </c>
      <c r="E115" s="13">
        <v>45899.0</v>
      </c>
      <c r="F115" s="18">
        <v>20000.0</v>
      </c>
    </row>
    <row r="116">
      <c r="A116" s="11" t="s">
        <v>290</v>
      </c>
      <c r="B116" s="13">
        <v>45906.0</v>
      </c>
      <c r="C116" s="15" t="s">
        <v>291</v>
      </c>
      <c r="D116" s="15" t="s">
        <v>9</v>
      </c>
      <c r="E116" s="13">
        <v>45906.0</v>
      </c>
      <c r="F116" s="18">
        <v>6000.0</v>
      </c>
    </row>
    <row r="117">
      <c r="A117" s="11" t="s">
        <v>293</v>
      </c>
      <c r="B117" s="13">
        <v>45907.0</v>
      </c>
      <c r="C117" s="15" t="s">
        <v>294</v>
      </c>
      <c r="D117" s="15" t="s">
        <v>9</v>
      </c>
      <c r="E117" s="13">
        <v>45907.0</v>
      </c>
      <c r="F117" s="18">
        <v>12200.0</v>
      </c>
    </row>
    <row r="118">
      <c r="A118" s="11" t="s">
        <v>296</v>
      </c>
      <c r="B118" s="13">
        <v>45908.0</v>
      </c>
      <c r="C118" s="15" t="s">
        <v>297</v>
      </c>
      <c r="D118" s="15" t="s">
        <v>9</v>
      </c>
      <c r="E118" s="13">
        <v>45917.0</v>
      </c>
      <c r="F118" s="18">
        <v>6300.0</v>
      </c>
    </row>
    <row r="119">
      <c r="A119" s="11" t="s">
        <v>299</v>
      </c>
      <c r="B119" s="13">
        <v>45907.0</v>
      </c>
      <c r="C119" s="15" t="s">
        <v>300</v>
      </c>
      <c r="D119" s="15" t="s">
        <v>9</v>
      </c>
      <c r="E119" s="13">
        <v>45907.0</v>
      </c>
      <c r="F119" s="18">
        <v>11340.0</v>
      </c>
    </row>
    <row r="120">
      <c r="A120" s="11" t="s">
        <v>302</v>
      </c>
      <c r="B120" s="13">
        <v>45908.0</v>
      </c>
      <c r="C120" s="15" t="s">
        <v>304</v>
      </c>
      <c r="D120" s="15" t="s">
        <v>9</v>
      </c>
      <c r="E120" s="13">
        <v>45904.0</v>
      </c>
      <c r="F120" s="18">
        <v>7975.0</v>
      </c>
    </row>
    <row r="121">
      <c r="A121" s="11" t="s">
        <v>307</v>
      </c>
      <c r="B121" s="13">
        <v>45908.0</v>
      </c>
      <c r="C121" s="15" t="s">
        <v>308</v>
      </c>
      <c r="D121" s="15" t="s">
        <v>9</v>
      </c>
      <c r="E121" s="13">
        <v>45893.0</v>
      </c>
      <c r="F121" s="18">
        <v>2000.0</v>
      </c>
    </row>
    <row r="122">
      <c r="A122" s="11" t="s">
        <v>311</v>
      </c>
      <c r="B122" s="13">
        <v>45909.0</v>
      </c>
      <c r="C122" s="15" t="s">
        <v>312</v>
      </c>
      <c r="D122" s="15" t="s">
        <v>9</v>
      </c>
      <c r="E122" s="13">
        <v>45909.0</v>
      </c>
      <c r="F122" s="18">
        <v>4000.0</v>
      </c>
    </row>
    <row r="123">
      <c r="A123" s="11" t="s">
        <v>314</v>
      </c>
      <c r="B123" s="13">
        <v>45909.0</v>
      </c>
      <c r="C123" s="15" t="s">
        <v>315</v>
      </c>
      <c r="D123" s="15" t="s">
        <v>9</v>
      </c>
      <c r="E123" s="13">
        <v>45909.0</v>
      </c>
      <c r="F123" s="18">
        <v>58500.0</v>
      </c>
    </row>
    <row r="124">
      <c r="A124" s="11" t="s">
        <v>317</v>
      </c>
      <c r="B124" s="13">
        <v>45911.0</v>
      </c>
      <c r="C124" s="15" t="s">
        <v>318</v>
      </c>
      <c r="D124" s="15" t="s">
        <v>9</v>
      </c>
      <c r="E124" s="13">
        <v>45958.0</v>
      </c>
      <c r="F124" s="18">
        <v>3600.0</v>
      </c>
    </row>
    <row r="125">
      <c r="A125" s="11" t="s">
        <v>321</v>
      </c>
      <c r="B125" s="13">
        <v>45911.0</v>
      </c>
      <c r="C125" s="15" t="s">
        <v>322</v>
      </c>
      <c r="D125" s="15" t="s">
        <v>9</v>
      </c>
      <c r="E125" s="13">
        <v>45911.0</v>
      </c>
      <c r="F125" s="18">
        <v>18800.0</v>
      </c>
    </row>
    <row r="126">
      <c r="A126" s="11" t="s">
        <v>323</v>
      </c>
      <c r="B126" s="13">
        <v>45913.0</v>
      </c>
      <c r="C126" s="15" t="s">
        <v>324</v>
      </c>
      <c r="D126" s="15" t="s">
        <v>9</v>
      </c>
      <c r="E126" s="13">
        <v>45958.0</v>
      </c>
      <c r="F126" s="18">
        <v>15000.0</v>
      </c>
    </row>
    <row r="127">
      <c r="A127" s="11" t="s">
        <v>326</v>
      </c>
      <c r="B127" s="13">
        <v>45918.0</v>
      </c>
      <c r="C127" s="15" t="s">
        <v>328</v>
      </c>
      <c r="D127" s="15" t="s">
        <v>9</v>
      </c>
      <c r="E127" s="13">
        <v>45918.0</v>
      </c>
      <c r="F127" s="18">
        <v>8500.0</v>
      </c>
    </row>
    <row r="128">
      <c r="A128" s="11" t="s">
        <v>330</v>
      </c>
      <c r="B128" s="13">
        <v>45917.0</v>
      </c>
      <c r="C128" s="15" t="s">
        <v>332</v>
      </c>
      <c r="D128" s="15" t="s">
        <v>9</v>
      </c>
      <c r="E128" s="13">
        <v>45918.0</v>
      </c>
      <c r="F128" s="18">
        <v>40500.0</v>
      </c>
    </row>
    <row r="129">
      <c r="A129" s="11" t="s">
        <v>333</v>
      </c>
      <c r="B129" s="13">
        <v>45920.0</v>
      </c>
      <c r="C129" s="15" t="s">
        <v>334</v>
      </c>
      <c r="D129" s="15" t="s">
        <v>335</v>
      </c>
      <c r="E129" s="13">
        <v>45917.0</v>
      </c>
      <c r="F129" s="18">
        <v>3910.0</v>
      </c>
    </row>
    <row r="130">
      <c r="A130" s="11" t="s">
        <v>336</v>
      </c>
      <c r="B130" s="13">
        <v>45927.0</v>
      </c>
      <c r="C130" s="15" t="s">
        <v>337</v>
      </c>
      <c r="D130" s="15" t="s">
        <v>9</v>
      </c>
      <c r="E130" s="13">
        <v>45927.0</v>
      </c>
      <c r="F130" s="18">
        <v>20000.0</v>
      </c>
    </row>
    <row r="131">
      <c r="A131" s="11" t="s">
        <v>340</v>
      </c>
      <c r="B131" s="13">
        <v>45927.0</v>
      </c>
      <c r="C131" s="15" t="s">
        <v>341</v>
      </c>
      <c r="D131" s="15" t="s">
        <v>9</v>
      </c>
      <c r="E131" s="13">
        <v>45927.0</v>
      </c>
      <c r="F131" s="18">
        <v>3000.0</v>
      </c>
    </row>
    <row r="132">
      <c r="A132" s="11" t="s">
        <v>343</v>
      </c>
      <c r="B132" s="13">
        <v>45927.0</v>
      </c>
      <c r="C132" s="15" t="s">
        <v>345</v>
      </c>
      <c r="D132" s="15" t="s">
        <v>9</v>
      </c>
      <c r="E132" s="13">
        <v>45958.0</v>
      </c>
      <c r="F132" s="18">
        <v>50000.0</v>
      </c>
    </row>
    <row r="133">
      <c r="A133" s="11" t="s">
        <v>347</v>
      </c>
      <c r="B133" s="13">
        <v>45928.0</v>
      </c>
      <c r="C133" s="15" t="s">
        <v>349</v>
      </c>
      <c r="D133" s="15" t="s">
        <v>9</v>
      </c>
      <c r="E133" s="13">
        <v>45928.0</v>
      </c>
      <c r="F133" s="18">
        <v>3600.0</v>
      </c>
    </row>
    <row r="134">
      <c r="A134" s="11" t="s">
        <v>351</v>
      </c>
      <c r="B134" s="13">
        <v>45932.0</v>
      </c>
      <c r="C134" s="15" t="s">
        <v>354</v>
      </c>
      <c r="D134" s="15" t="s">
        <v>9</v>
      </c>
      <c r="E134" s="13">
        <v>45932.0</v>
      </c>
      <c r="F134" s="18">
        <v>21400.0</v>
      </c>
    </row>
    <row r="135">
      <c r="A135" s="11" t="s">
        <v>356</v>
      </c>
      <c r="B135" s="13">
        <v>45935.0</v>
      </c>
      <c r="C135" s="15" t="s">
        <v>357</v>
      </c>
      <c r="D135" s="15" t="s">
        <v>9</v>
      </c>
      <c r="E135" s="13">
        <v>45935.0</v>
      </c>
      <c r="F135" s="18">
        <v>8100.0</v>
      </c>
    </row>
    <row r="136">
      <c r="A136" s="11" t="s">
        <v>358</v>
      </c>
      <c r="B136" s="13">
        <v>45940.0</v>
      </c>
      <c r="C136" s="15" t="s">
        <v>359</v>
      </c>
      <c r="D136" s="15" t="s">
        <v>9</v>
      </c>
      <c r="E136" s="13">
        <v>45940.0</v>
      </c>
      <c r="F136" s="18">
        <v>20000.0</v>
      </c>
    </row>
    <row r="137">
      <c r="A137" s="11" t="s">
        <v>360</v>
      </c>
      <c r="B137" s="13">
        <v>45940.0</v>
      </c>
      <c r="C137" s="15" t="s">
        <v>362</v>
      </c>
      <c r="D137" s="15" t="s">
        <v>9</v>
      </c>
      <c r="E137" s="13">
        <v>45940.0</v>
      </c>
      <c r="F137" s="18">
        <v>25000.0</v>
      </c>
    </row>
    <row r="138">
      <c r="A138" s="11" t="s">
        <v>364</v>
      </c>
      <c r="B138" s="13">
        <v>45942.0</v>
      </c>
      <c r="C138" s="15" t="s">
        <v>366</v>
      </c>
      <c r="D138" s="15" t="s">
        <v>9</v>
      </c>
      <c r="E138" s="13">
        <v>45942.0</v>
      </c>
      <c r="F138" s="18">
        <v>3800.0</v>
      </c>
    </row>
    <row r="139">
      <c r="A139" s="11" t="s">
        <v>368</v>
      </c>
      <c r="B139" s="13">
        <v>45942.0</v>
      </c>
      <c r="C139" s="15" t="s">
        <v>370</v>
      </c>
      <c r="D139" s="15" t="s">
        <v>27</v>
      </c>
      <c r="E139" s="13">
        <v>45942.0</v>
      </c>
      <c r="F139" s="18">
        <v>3480.0</v>
      </c>
    </row>
    <row r="140">
      <c r="A140" s="11" t="s">
        <v>372</v>
      </c>
      <c r="B140" s="13">
        <v>45942.0</v>
      </c>
      <c r="C140" s="15" t="s">
        <v>373</v>
      </c>
      <c r="D140" s="15" t="s">
        <v>9</v>
      </c>
      <c r="E140" s="13">
        <v>45942.0</v>
      </c>
      <c r="F140" s="18">
        <v>5600.0</v>
      </c>
    </row>
    <row r="141">
      <c r="A141" s="11" t="s">
        <v>376</v>
      </c>
      <c r="B141" s="13">
        <v>45942.0</v>
      </c>
      <c r="C141" s="15" t="s">
        <v>378</v>
      </c>
      <c r="D141" s="15" t="s">
        <v>9</v>
      </c>
      <c r="E141" s="13">
        <v>45942.0</v>
      </c>
      <c r="F141" s="18">
        <v>2000.0</v>
      </c>
    </row>
    <row r="142">
      <c r="A142" s="11" t="s">
        <v>380</v>
      </c>
      <c r="B142" s="13">
        <v>45942.0</v>
      </c>
      <c r="C142" s="15" t="s">
        <v>381</v>
      </c>
      <c r="D142" s="15" t="s">
        <v>9</v>
      </c>
      <c r="E142" s="13">
        <v>45942.0</v>
      </c>
      <c r="F142" s="18">
        <v>3500.0</v>
      </c>
    </row>
    <row r="143">
      <c r="A143" s="11" t="s">
        <v>383</v>
      </c>
      <c r="B143" s="13">
        <v>45944.0</v>
      </c>
      <c r="C143" s="15" t="s">
        <v>384</v>
      </c>
      <c r="D143" s="15" t="s">
        <v>9</v>
      </c>
      <c r="E143" s="13">
        <v>45944.0</v>
      </c>
      <c r="F143" s="18">
        <v>7150.0</v>
      </c>
    </row>
    <row r="144">
      <c r="A144" s="11" t="s">
        <v>386</v>
      </c>
      <c r="B144" s="13">
        <v>45947.0</v>
      </c>
      <c r="C144" s="15" t="s">
        <v>387</v>
      </c>
      <c r="D144" s="15" t="s">
        <v>9</v>
      </c>
      <c r="E144" s="13">
        <v>45947.0</v>
      </c>
      <c r="F144" s="18">
        <v>17000.0</v>
      </c>
    </row>
    <row r="145">
      <c r="A145" s="11" t="s">
        <v>389</v>
      </c>
      <c r="B145" s="13">
        <v>45958.0</v>
      </c>
      <c r="C145" s="15" t="s">
        <v>391</v>
      </c>
      <c r="D145" s="15" t="s">
        <v>9</v>
      </c>
      <c r="E145" s="13">
        <v>45958.0</v>
      </c>
      <c r="F145" s="18">
        <v>64000.0</v>
      </c>
    </row>
    <row r="146">
      <c r="A146" s="11" t="s">
        <v>394</v>
      </c>
      <c r="B146" s="13">
        <v>45947.0</v>
      </c>
      <c r="C146" s="15" t="s">
        <v>396</v>
      </c>
      <c r="D146" s="15" t="s">
        <v>9</v>
      </c>
      <c r="E146" s="13">
        <v>45947.0</v>
      </c>
      <c r="F146" s="18">
        <v>10000.0</v>
      </c>
    </row>
    <row r="147">
      <c r="A147" s="11" t="s">
        <v>397</v>
      </c>
      <c r="B147" s="13">
        <v>45947.0</v>
      </c>
      <c r="C147" s="15" t="s">
        <v>399</v>
      </c>
      <c r="D147" s="15" t="s">
        <v>9</v>
      </c>
      <c r="E147" s="13">
        <v>45947.0</v>
      </c>
      <c r="F147" s="18">
        <v>15500.0</v>
      </c>
    </row>
    <row r="148">
      <c r="A148" s="11" t="s">
        <v>400</v>
      </c>
      <c r="B148" s="13">
        <v>45952.0</v>
      </c>
      <c r="C148" s="15" t="s">
        <v>401</v>
      </c>
      <c r="D148" s="15" t="s">
        <v>43</v>
      </c>
      <c r="E148" s="13" t="s">
        <v>153</v>
      </c>
      <c r="F148" s="18">
        <v>4800.0</v>
      </c>
    </row>
    <row r="149">
      <c r="A149" s="11" t="s">
        <v>402</v>
      </c>
      <c r="B149" s="13">
        <v>45952.0</v>
      </c>
      <c r="C149" s="15" t="s">
        <v>403</v>
      </c>
      <c r="D149" s="15" t="s">
        <v>43</v>
      </c>
      <c r="E149" s="13">
        <v>45952.0</v>
      </c>
      <c r="F149" s="18">
        <v>7120.0</v>
      </c>
    </row>
    <row r="150">
      <c r="A150" s="11" t="s">
        <v>405</v>
      </c>
      <c r="B150" s="13">
        <v>45952.0</v>
      </c>
      <c r="C150" s="15" t="s">
        <v>407</v>
      </c>
      <c r="D150" s="47"/>
      <c r="E150" s="47"/>
      <c r="F150" s="18">
        <v>1394.0</v>
      </c>
    </row>
    <row r="151">
      <c r="A151" s="11" t="s">
        <v>409</v>
      </c>
      <c r="B151" s="13">
        <v>45952.0</v>
      </c>
      <c r="C151" s="15" t="s">
        <v>411</v>
      </c>
      <c r="D151" s="15" t="s">
        <v>27</v>
      </c>
      <c r="E151" s="13">
        <v>45952.0</v>
      </c>
      <c r="F151" s="18">
        <v>15500.0</v>
      </c>
    </row>
    <row r="152">
      <c r="A152" s="11" t="s">
        <v>413</v>
      </c>
      <c r="B152" s="13">
        <v>45962.0</v>
      </c>
      <c r="C152" s="15" t="s">
        <v>414</v>
      </c>
      <c r="D152" s="15" t="s">
        <v>416</v>
      </c>
      <c r="E152" s="13">
        <v>45942.0</v>
      </c>
      <c r="F152" s="18">
        <v>591.0</v>
      </c>
    </row>
    <row r="153">
      <c r="A153" s="11" t="s">
        <v>417</v>
      </c>
      <c r="B153" s="13">
        <v>45970.0</v>
      </c>
      <c r="C153" s="15" t="s">
        <v>418</v>
      </c>
      <c r="D153" s="15" t="s">
        <v>9</v>
      </c>
      <c r="E153" s="13">
        <v>45970.0</v>
      </c>
      <c r="F153" s="18">
        <v>22300.0</v>
      </c>
    </row>
    <row r="154">
      <c r="A154" s="11" t="s">
        <v>420</v>
      </c>
      <c r="B154" s="13">
        <v>45976.0</v>
      </c>
      <c r="C154" s="15" t="s">
        <v>422</v>
      </c>
      <c r="D154" s="15" t="s">
        <v>9</v>
      </c>
      <c r="E154" s="13">
        <v>45976.0</v>
      </c>
      <c r="F154" s="18">
        <v>12400.0</v>
      </c>
    </row>
    <row r="155">
      <c r="A155" s="11" t="s">
        <v>424</v>
      </c>
      <c r="B155" s="13">
        <v>45976.0</v>
      </c>
      <c r="C155" s="15" t="s">
        <v>425</v>
      </c>
      <c r="D155" s="15" t="s">
        <v>9</v>
      </c>
      <c r="E155" s="13">
        <v>45976.0</v>
      </c>
      <c r="F155" s="18">
        <v>12000.0</v>
      </c>
    </row>
    <row r="156">
      <c r="A156" s="60">
        <v>45660.0</v>
      </c>
      <c r="B156" s="13">
        <v>45976.0</v>
      </c>
      <c r="C156" s="15" t="s">
        <v>426</v>
      </c>
      <c r="D156" s="15" t="s">
        <v>9</v>
      </c>
      <c r="E156" s="13">
        <v>45976.0</v>
      </c>
      <c r="F156" s="18">
        <v>30000.0</v>
      </c>
    </row>
    <row r="157">
      <c r="A157" s="60">
        <v>45691.0</v>
      </c>
      <c r="B157" s="13">
        <v>45976.0</v>
      </c>
      <c r="C157" s="15" t="s">
        <v>427</v>
      </c>
      <c r="D157" s="15" t="s">
        <v>9</v>
      </c>
      <c r="E157" s="13">
        <v>45976.0</v>
      </c>
      <c r="F157" s="18">
        <v>4000.0</v>
      </c>
    </row>
    <row r="158">
      <c r="A158" s="60">
        <v>45719.0</v>
      </c>
      <c r="B158" s="13">
        <v>45976.0</v>
      </c>
      <c r="C158" s="15" t="s">
        <v>431</v>
      </c>
      <c r="D158" s="15" t="s">
        <v>9</v>
      </c>
      <c r="E158" s="13">
        <v>45976.0</v>
      </c>
      <c r="F158" s="18">
        <v>9000.0</v>
      </c>
    </row>
    <row r="159">
      <c r="A159" s="60">
        <v>45750.0</v>
      </c>
      <c r="B159" s="13">
        <v>45977.0</v>
      </c>
      <c r="C159" s="15" t="s">
        <v>426</v>
      </c>
      <c r="D159" s="15" t="s">
        <v>9</v>
      </c>
      <c r="E159" s="13">
        <v>45977.0</v>
      </c>
      <c r="F159" s="18">
        <v>10000.0</v>
      </c>
    </row>
    <row r="160">
      <c r="A160" s="60">
        <v>45780.0</v>
      </c>
      <c r="B160" s="13">
        <v>45977.0</v>
      </c>
      <c r="C160" s="15" t="s">
        <v>434</v>
      </c>
      <c r="D160" s="15" t="s">
        <v>9</v>
      </c>
      <c r="E160" s="13">
        <v>45977.0</v>
      </c>
      <c r="F160" s="18">
        <v>2000.0</v>
      </c>
    </row>
    <row r="161">
      <c r="A161" s="60">
        <v>45811.0</v>
      </c>
      <c r="B161" s="13">
        <v>45978.0</v>
      </c>
      <c r="C161" s="15" t="s">
        <v>435</v>
      </c>
      <c r="D161" s="15" t="s">
        <v>9</v>
      </c>
      <c r="E161" s="13">
        <v>45978.0</v>
      </c>
      <c r="F161" s="18">
        <v>8000.0</v>
      </c>
    </row>
    <row r="162">
      <c r="A162" s="60">
        <v>45841.0</v>
      </c>
      <c r="B162" s="13">
        <v>45978.0</v>
      </c>
      <c r="C162" s="15" t="s">
        <v>439</v>
      </c>
      <c r="D162" s="15" t="s">
        <v>9</v>
      </c>
      <c r="E162" s="13" t="s">
        <v>440</v>
      </c>
      <c r="F162" s="18">
        <v>350.0</v>
      </c>
    </row>
    <row r="163">
      <c r="A163" s="60">
        <v>45872.0</v>
      </c>
      <c r="B163" s="13">
        <v>45979.0</v>
      </c>
      <c r="C163" s="15" t="s">
        <v>441</v>
      </c>
      <c r="D163" s="15" t="s">
        <v>9</v>
      </c>
      <c r="E163" s="13">
        <v>45979.0</v>
      </c>
      <c r="F163" s="18">
        <v>2000.0</v>
      </c>
    </row>
    <row r="164">
      <c r="A164" s="60">
        <v>45903.0</v>
      </c>
      <c r="B164" s="13">
        <v>45979.0</v>
      </c>
      <c r="C164" s="15" t="s">
        <v>441</v>
      </c>
      <c r="D164" s="15" t="s">
        <v>9</v>
      </c>
      <c r="E164" s="13">
        <v>45979.0</v>
      </c>
      <c r="F164" s="18">
        <v>10000.0</v>
      </c>
    </row>
    <row r="165">
      <c r="A165" s="60">
        <v>45933.0</v>
      </c>
      <c r="B165" s="13">
        <v>45979.0</v>
      </c>
      <c r="C165" s="15" t="s">
        <v>441</v>
      </c>
      <c r="D165" s="15" t="s">
        <v>9</v>
      </c>
      <c r="E165" s="13">
        <v>45979.0</v>
      </c>
      <c r="F165" s="18">
        <v>2000.0</v>
      </c>
    </row>
    <row r="166">
      <c r="A166" s="60">
        <v>45964.0</v>
      </c>
      <c r="B166" s="13">
        <v>45982.0</v>
      </c>
      <c r="C166" s="15" t="s">
        <v>448</v>
      </c>
      <c r="D166" s="15" t="s">
        <v>9</v>
      </c>
      <c r="E166" s="13">
        <v>45982.0</v>
      </c>
      <c r="F166" s="18">
        <v>12000.0</v>
      </c>
    </row>
    <row r="167">
      <c r="A167" s="60">
        <v>45994.0</v>
      </c>
      <c r="B167" s="13">
        <v>45982.0</v>
      </c>
      <c r="C167" s="15" t="s">
        <v>449</v>
      </c>
      <c r="D167" s="15" t="s">
        <v>46</v>
      </c>
      <c r="E167" s="13">
        <v>45981.0</v>
      </c>
      <c r="F167" s="18">
        <v>13000.0</v>
      </c>
    </row>
    <row r="168">
      <c r="A168" s="11" t="s">
        <v>450</v>
      </c>
      <c r="B168" s="13">
        <v>45983.0</v>
      </c>
      <c r="C168" s="15" t="s">
        <v>451</v>
      </c>
      <c r="D168" s="15" t="s">
        <v>46</v>
      </c>
      <c r="E168" s="13">
        <v>45983.0</v>
      </c>
      <c r="F168" s="18">
        <v>21000.0</v>
      </c>
    </row>
    <row r="169">
      <c r="A169" s="11" t="s">
        <v>453</v>
      </c>
      <c r="B169" s="13">
        <v>45983.0</v>
      </c>
      <c r="C169" s="15" t="s">
        <v>455</v>
      </c>
      <c r="D169" s="15" t="s">
        <v>46</v>
      </c>
      <c r="E169" s="13">
        <v>45983.0</v>
      </c>
      <c r="F169" s="18">
        <v>2500.0</v>
      </c>
    </row>
    <row r="170">
      <c r="A170" s="11" t="s">
        <v>456</v>
      </c>
      <c r="B170" s="13">
        <v>45984.0</v>
      </c>
      <c r="C170" s="15" t="s">
        <v>457</v>
      </c>
      <c r="D170" s="15" t="s">
        <v>35</v>
      </c>
      <c r="E170" s="13">
        <v>45984.0</v>
      </c>
      <c r="F170" s="18">
        <v>36500.0</v>
      </c>
    </row>
    <row r="171">
      <c r="A171" s="11" t="s">
        <v>459</v>
      </c>
      <c r="B171" s="13">
        <v>45981.0</v>
      </c>
      <c r="C171" s="15" t="s">
        <v>461</v>
      </c>
      <c r="D171" s="15" t="s">
        <v>43</v>
      </c>
      <c r="E171" s="13" t="s">
        <v>153</v>
      </c>
      <c r="F171" s="18">
        <v>4200.0</v>
      </c>
    </row>
    <row r="172">
      <c r="A172" s="11" t="s">
        <v>465</v>
      </c>
      <c r="B172" s="13">
        <v>45988.0</v>
      </c>
      <c r="C172" s="15" t="s">
        <v>466</v>
      </c>
      <c r="D172" s="15" t="s">
        <v>46</v>
      </c>
      <c r="E172" s="13">
        <v>45983.0</v>
      </c>
      <c r="F172" s="18">
        <v>8488.0</v>
      </c>
    </row>
    <row r="173">
      <c r="A173" s="11" t="s">
        <v>468</v>
      </c>
      <c r="B173" s="13">
        <v>45988.0</v>
      </c>
      <c r="C173" s="15" t="s">
        <v>469</v>
      </c>
      <c r="D173" s="15" t="s">
        <v>16</v>
      </c>
      <c r="E173" s="13">
        <v>45965.0</v>
      </c>
      <c r="F173" s="18">
        <v>25000.0</v>
      </c>
    </row>
    <row r="174">
      <c r="A174" s="11" t="s">
        <v>470</v>
      </c>
      <c r="B174" s="13">
        <v>45988.0</v>
      </c>
      <c r="C174" s="15" t="s">
        <v>471</v>
      </c>
      <c r="D174" s="15" t="s">
        <v>46</v>
      </c>
      <c r="E174" s="13">
        <v>45983.0</v>
      </c>
      <c r="F174" s="18">
        <v>1200.0</v>
      </c>
    </row>
    <row r="175">
      <c r="A175" s="11" t="s">
        <v>472</v>
      </c>
      <c r="B175" s="13">
        <v>45988.0</v>
      </c>
      <c r="C175" s="15" t="s">
        <v>474</v>
      </c>
      <c r="D175" s="15" t="s">
        <v>16</v>
      </c>
      <c r="E175" s="13">
        <v>45935.0</v>
      </c>
      <c r="F175" s="18">
        <v>7000.0</v>
      </c>
    </row>
    <row r="176">
      <c r="A176" s="11" t="s">
        <v>476</v>
      </c>
      <c r="B176" s="13">
        <v>45988.0</v>
      </c>
      <c r="C176" s="15" t="s">
        <v>477</v>
      </c>
      <c r="D176" s="15" t="s">
        <v>16</v>
      </c>
      <c r="E176" s="13">
        <v>45935.0</v>
      </c>
      <c r="F176" s="18">
        <v>10245.0</v>
      </c>
    </row>
    <row r="177">
      <c r="A177" s="11" t="s">
        <v>479</v>
      </c>
      <c r="B177" s="13">
        <v>45988.0</v>
      </c>
      <c r="C177" s="15" t="s">
        <v>481</v>
      </c>
      <c r="D177" s="15" t="s">
        <v>46</v>
      </c>
      <c r="E177" s="13">
        <v>45983.0</v>
      </c>
      <c r="F177" s="18">
        <v>2100.0</v>
      </c>
    </row>
    <row r="178">
      <c r="A178" s="11" t="s">
        <v>483</v>
      </c>
      <c r="B178" s="13">
        <v>45988.0</v>
      </c>
      <c r="C178" s="15" t="s">
        <v>484</v>
      </c>
      <c r="D178" s="15" t="s">
        <v>46</v>
      </c>
      <c r="E178" s="13">
        <v>45994.0</v>
      </c>
      <c r="F178" s="18">
        <v>25000.0</v>
      </c>
    </row>
    <row r="179">
      <c r="A179" s="11" t="s">
        <v>488</v>
      </c>
      <c r="B179" s="13">
        <v>45980.0</v>
      </c>
      <c r="C179" s="15" t="s">
        <v>489</v>
      </c>
      <c r="D179" s="15" t="s">
        <v>46</v>
      </c>
      <c r="E179" s="13">
        <v>45980.0</v>
      </c>
      <c r="F179" s="18">
        <v>6860.0</v>
      </c>
    </row>
    <row r="180">
      <c r="A180" s="11" t="s">
        <v>490</v>
      </c>
      <c r="B180" s="13">
        <v>45994.0</v>
      </c>
      <c r="C180" s="15" t="s">
        <v>491</v>
      </c>
      <c r="D180" s="15" t="s">
        <v>16</v>
      </c>
      <c r="E180" s="13">
        <v>45995.0</v>
      </c>
      <c r="F180" s="18">
        <v>10000.0</v>
      </c>
    </row>
    <row r="181">
      <c r="A181" s="11" t="s">
        <v>492</v>
      </c>
      <c r="B181" s="13">
        <v>45994.0</v>
      </c>
      <c r="C181" s="15" t="s">
        <v>493</v>
      </c>
      <c r="D181" s="15" t="s">
        <v>16</v>
      </c>
      <c r="E181" s="13">
        <v>45995.0</v>
      </c>
      <c r="F181" s="18">
        <v>14000.0</v>
      </c>
    </row>
    <row r="182">
      <c r="A182" s="11" t="s">
        <v>494</v>
      </c>
      <c r="B182" s="13">
        <v>45994.0</v>
      </c>
      <c r="C182" s="15" t="s">
        <v>495</v>
      </c>
      <c r="D182" s="15" t="s">
        <v>46</v>
      </c>
      <c r="E182" s="13">
        <v>45982.0</v>
      </c>
      <c r="F182" s="18">
        <v>7500.0</v>
      </c>
    </row>
    <row r="183">
      <c r="A183" s="11" t="s">
        <v>498</v>
      </c>
      <c r="B183" s="13">
        <v>45994.0</v>
      </c>
      <c r="C183" s="15" t="s">
        <v>499</v>
      </c>
      <c r="D183" s="15" t="s">
        <v>46</v>
      </c>
      <c r="E183" s="13">
        <v>45978.0</v>
      </c>
      <c r="F183" s="18">
        <v>8800.0</v>
      </c>
    </row>
    <row r="184">
      <c r="A184" s="11" t="s">
        <v>501</v>
      </c>
      <c r="B184" s="13">
        <v>45994.0</v>
      </c>
      <c r="C184" s="15" t="s">
        <v>502</v>
      </c>
      <c r="D184" s="15" t="s">
        <v>16</v>
      </c>
      <c r="E184" s="13">
        <v>45975.0</v>
      </c>
      <c r="F184" s="18">
        <v>8200.0</v>
      </c>
    </row>
    <row r="185">
      <c r="A185" s="11" t="s">
        <v>504</v>
      </c>
      <c r="B185" s="13">
        <v>45994.0</v>
      </c>
      <c r="C185" s="15" t="s">
        <v>506</v>
      </c>
      <c r="D185" s="47"/>
      <c r="E185" s="47"/>
      <c r="F185" s="18">
        <v>1150.0</v>
      </c>
    </row>
    <row r="186">
      <c r="A186" s="11" t="s">
        <v>508</v>
      </c>
      <c r="B186" s="13">
        <v>45994.0</v>
      </c>
      <c r="C186" s="15" t="s">
        <v>511</v>
      </c>
      <c r="D186" s="15" t="s">
        <v>46</v>
      </c>
      <c r="E186" s="13">
        <v>45984.0</v>
      </c>
      <c r="F186" s="18">
        <v>12400.0</v>
      </c>
    </row>
    <row r="187">
      <c r="A187" s="11" t="s">
        <v>513</v>
      </c>
      <c r="B187" s="13">
        <v>45994.0</v>
      </c>
      <c r="C187" s="15" t="s">
        <v>514</v>
      </c>
      <c r="D187" s="15" t="s">
        <v>35</v>
      </c>
      <c r="E187" s="13">
        <v>45984.0</v>
      </c>
      <c r="F187" s="18">
        <v>1100.0</v>
      </c>
    </row>
    <row r="188">
      <c r="A188" s="11" t="s">
        <v>515</v>
      </c>
      <c r="B188" s="13">
        <v>45994.0</v>
      </c>
      <c r="C188" s="15" t="s">
        <v>516</v>
      </c>
      <c r="D188" s="15" t="s">
        <v>43</v>
      </c>
      <c r="E188" s="13">
        <v>45989.0</v>
      </c>
      <c r="F188" s="18">
        <v>1540.0</v>
      </c>
    </row>
    <row r="189">
      <c r="A189" s="11" t="s">
        <v>517</v>
      </c>
      <c r="B189" s="13">
        <v>45994.0</v>
      </c>
      <c r="C189" s="15" t="s">
        <v>519</v>
      </c>
      <c r="D189" s="15" t="s">
        <v>43</v>
      </c>
      <c r="E189" s="13">
        <v>45994.0</v>
      </c>
      <c r="F189" s="18">
        <v>300.0</v>
      </c>
    </row>
    <row r="190">
      <c r="A190" s="11" t="s">
        <v>521</v>
      </c>
      <c r="B190" s="13">
        <v>45994.0</v>
      </c>
      <c r="C190" s="15" t="s">
        <v>522</v>
      </c>
      <c r="D190" s="15" t="s">
        <v>46</v>
      </c>
      <c r="E190" s="13">
        <v>45994.0</v>
      </c>
      <c r="F190" s="18">
        <v>23000.0</v>
      </c>
    </row>
    <row r="191">
      <c r="A191" s="11" t="s">
        <v>524</v>
      </c>
      <c r="B191" s="13">
        <v>45997.0</v>
      </c>
      <c r="C191" s="15" t="s">
        <v>526</v>
      </c>
      <c r="D191" s="15" t="s">
        <v>43</v>
      </c>
      <c r="E191" s="13">
        <v>45997.0</v>
      </c>
      <c r="F191" s="18">
        <v>4300.0</v>
      </c>
    </row>
    <row r="192">
      <c r="A192" s="11" t="s">
        <v>527</v>
      </c>
      <c r="B192" s="13">
        <v>46005.0</v>
      </c>
      <c r="C192" s="15" t="s">
        <v>529</v>
      </c>
      <c r="D192" s="15" t="s">
        <v>43</v>
      </c>
      <c r="E192" s="13">
        <v>46002.0</v>
      </c>
      <c r="F192" s="18">
        <v>12000.0</v>
      </c>
    </row>
    <row r="193">
      <c r="A193" s="11" t="s">
        <v>532</v>
      </c>
      <c r="B193" s="13">
        <v>46005.0</v>
      </c>
      <c r="C193" s="15" t="s">
        <v>533</v>
      </c>
      <c r="D193" s="15" t="s">
        <v>51</v>
      </c>
      <c r="E193" s="13">
        <v>45983.0</v>
      </c>
      <c r="F193" s="18">
        <v>25000.0</v>
      </c>
    </row>
    <row r="194">
      <c r="A194" s="11" t="s">
        <v>534</v>
      </c>
      <c r="B194" s="13">
        <v>46005.0</v>
      </c>
      <c r="C194" s="15" t="s">
        <v>535</v>
      </c>
      <c r="D194" s="15" t="s">
        <v>9</v>
      </c>
      <c r="E194" s="13" t="s">
        <v>536</v>
      </c>
      <c r="F194" s="18">
        <v>4000.0</v>
      </c>
    </row>
    <row r="195">
      <c r="A195" s="11" t="s">
        <v>537</v>
      </c>
      <c r="B195" s="13">
        <v>46005.0</v>
      </c>
      <c r="C195" s="15" t="s">
        <v>538</v>
      </c>
      <c r="D195" s="15" t="s">
        <v>9</v>
      </c>
      <c r="E195" s="13">
        <v>8500.0</v>
      </c>
      <c r="F195" s="18">
        <v>8500.0</v>
      </c>
    </row>
    <row r="196">
      <c r="A196" s="11" t="s">
        <v>540</v>
      </c>
      <c r="B196" s="13">
        <v>46005.0</v>
      </c>
      <c r="C196" s="15" t="s">
        <v>542</v>
      </c>
      <c r="D196" s="15" t="s">
        <v>16</v>
      </c>
      <c r="E196" s="13">
        <v>45980.0</v>
      </c>
      <c r="F196" s="18">
        <v>22200.0</v>
      </c>
    </row>
    <row r="197">
      <c r="A197" s="11" t="s">
        <v>543</v>
      </c>
      <c r="B197" s="13">
        <v>46005.0</v>
      </c>
      <c r="C197" s="15" t="s">
        <v>544</v>
      </c>
      <c r="D197" s="15" t="s">
        <v>43</v>
      </c>
      <c r="E197" s="13">
        <v>45969.0</v>
      </c>
      <c r="F197" s="18">
        <v>2250.0</v>
      </c>
    </row>
    <row r="198">
      <c r="A198" s="11" t="s">
        <v>546</v>
      </c>
      <c r="B198" s="13">
        <v>46005.0</v>
      </c>
      <c r="C198" s="15" t="s">
        <v>548</v>
      </c>
      <c r="D198" s="15" t="s">
        <v>16</v>
      </c>
      <c r="E198" s="47"/>
      <c r="F198" s="18">
        <v>7500.0</v>
      </c>
    </row>
    <row r="199">
      <c r="A199" s="11" t="s">
        <v>550</v>
      </c>
      <c r="B199" s="13">
        <v>46005.0</v>
      </c>
      <c r="C199" s="15" t="s">
        <v>551</v>
      </c>
      <c r="D199" s="15" t="s">
        <v>48</v>
      </c>
      <c r="E199" s="13">
        <v>45997.0</v>
      </c>
      <c r="F199" s="18">
        <v>21300.0</v>
      </c>
    </row>
    <row r="200">
      <c r="A200" s="11" t="s">
        <v>552</v>
      </c>
      <c r="B200" s="13">
        <v>46006.0</v>
      </c>
      <c r="C200" s="15" t="s">
        <v>553</v>
      </c>
      <c r="D200" s="15" t="s">
        <v>9</v>
      </c>
      <c r="E200" s="13">
        <v>46006.0</v>
      </c>
      <c r="F200" s="18">
        <v>4500.0</v>
      </c>
    </row>
    <row r="201">
      <c r="A201" s="11" t="s">
        <v>554</v>
      </c>
      <c r="B201" s="13">
        <v>46006.0</v>
      </c>
      <c r="C201" s="15" t="s">
        <v>555</v>
      </c>
      <c r="D201" s="15" t="s">
        <v>9</v>
      </c>
      <c r="E201" s="13">
        <v>46006.0</v>
      </c>
      <c r="F201" s="18">
        <v>11130.0</v>
      </c>
    </row>
    <row r="202">
      <c r="A202" s="11" t="s">
        <v>556</v>
      </c>
      <c r="B202" s="13">
        <v>46007.0</v>
      </c>
      <c r="C202" s="15" t="s">
        <v>557</v>
      </c>
      <c r="D202" s="15" t="s">
        <v>9</v>
      </c>
      <c r="E202" s="13">
        <v>46007.0</v>
      </c>
      <c r="F202" s="18">
        <v>1700.0</v>
      </c>
    </row>
    <row r="203">
      <c r="A203" s="11" t="s">
        <v>560</v>
      </c>
      <c r="B203" s="13">
        <v>46009.0</v>
      </c>
      <c r="C203" s="15" t="s">
        <v>561</v>
      </c>
      <c r="D203" s="15" t="s">
        <v>43</v>
      </c>
      <c r="E203" s="13">
        <v>46009.0</v>
      </c>
      <c r="F203" s="18">
        <v>920.0</v>
      </c>
    </row>
    <row r="204">
      <c r="A204" s="11" t="s">
        <v>562</v>
      </c>
      <c r="B204" s="13">
        <v>46010.0</v>
      </c>
      <c r="C204" s="15" t="s">
        <v>564</v>
      </c>
      <c r="D204" s="15" t="s">
        <v>9</v>
      </c>
      <c r="E204" s="13">
        <v>46011.0</v>
      </c>
      <c r="F204" s="18">
        <v>1300.0</v>
      </c>
    </row>
    <row r="205">
      <c r="A205" s="11" t="s">
        <v>566</v>
      </c>
      <c r="B205" s="13">
        <v>46011.0</v>
      </c>
      <c r="C205" s="15" t="s">
        <v>567</v>
      </c>
      <c r="D205" s="15" t="s">
        <v>9</v>
      </c>
      <c r="E205" s="13">
        <v>46011.0</v>
      </c>
      <c r="F205" s="18">
        <v>2500.0</v>
      </c>
    </row>
    <row r="206">
      <c r="A206" s="11" t="s">
        <v>571</v>
      </c>
      <c r="B206" s="13">
        <v>46027.0</v>
      </c>
      <c r="C206" s="15" t="s">
        <v>572</v>
      </c>
      <c r="D206" s="47"/>
      <c r="E206" s="47"/>
      <c r="F206" s="18">
        <v>11000.0</v>
      </c>
    </row>
    <row r="207">
      <c r="A207" s="11" t="s">
        <v>573</v>
      </c>
      <c r="B207" s="13">
        <v>46039.0</v>
      </c>
      <c r="C207" s="15" t="s">
        <v>574</v>
      </c>
      <c r="D207" s="15" t="s">
        <v>43</v>
      </c>
      <c r="E207" s="13">
        <v>46039.0</v>
      </c>
      <c r="F207" s="18">
        <v>10000.0</v>
      </c>
    </row>
    <row r="208">
      <c r="A208" s="11" t="s">
        <v>575</v>
      </c>
      <c r="B208" s="13">
        <v>46040.0</v>
      </c>
      <c r="C208" s="15" t="s">
        <v>576</v>
      </c>
      <c r="D208" s="15" t="s">
        <v>43</v>
      </c>
      <c r="E208" s="13">
        <v>46040.0</v>
      </c>
      <c r="F208" s="18">
        <v>21200.0</v>
      </c>
    </row>
    <row r="209">
      <c r="A209" s="11" t="s">
        <v>578</v>
      </c>
      <c r="B209" s="13">
        <v>46042.0</v>
      </c>
      <c r="C209" s="15" t="s">
        <v>580</v>
      </c>
      <c r="D209" s="15" t="s">
        <v>43</v>
      </c>
      <c r="E209" s="13">
        <v>46042.0</v>
      </c>
      <c r="F209" s="18">
        <v>1500.0</v>
      </c>
    </row>
    <row r="210">
      <c r="A210" s="11" t="s">
        <v>581</v>
      </c>
      <c r="B210" s="13">
        <v>46056.0</v>
      </c>
      <c r="C210" s="15" t="s">
        <v>582</v>
      </c>
      <c r="D210" s="15" t="s">
        <v>30</v>
      </c>
      <c r="E210" s="13">
        <v>46056.0</v>
      </c>
      <c r="F210" s="18">
        <v>2000.0</v>
      </c>
    </row>
    <row r="211">
      <c r="A211" s="11" t="s">
        <v>584</v>
      </c>
      <c r="B211" s="13">
        <v>46060.0</v>
      </c>
      <c r="C211" s="15" t="s">
        <v>585</v>
      </c>
      <c r="D211" s="15" t="s">
        <v>30</v>
      </c>
      <c r="E211" s="13">
        <v>45695.0</v>
      </c>
      <c r="F211" s="18">
        <v>13470.0</v>
      </c>
    </row>
    <row r="212">
      <c r="A212" s="11" t="s">
        <v>586</v>
      </c>
      <c r="B212" s="13">
        <v>46060.0</v>
      </c>
      <c r="C212" s="15" t="s">
        <v>589</v>
      </c>
      <c r="D212" s="15" t="s">
        <v>9</v>
      </c>
      <c r="E212" s="13">
        <v>45695.0</v>
      </c>
      <c r="F212" s="18">
        <v>8158.0</v>
      </c>
    </row>
    <row r="213">
      <c r="A213" s="11" t="s">
        <v>591</v>
      </c>
      <c r="B213" s="13">
        <v>46062.0</v>
      </c>
      <c r="C213" s="15" t="s">
        <v>592</v>
      </c>
      <c r="D213" s="15" t="s">
        <v>43</v>
      </c>
      <c r="E213" s="13">
        <v>45697.0</v>
      </c>
      <c r="F213" s="18">
        <v>8500.0</v>
      </c>
    </row>
    <row r="214">
      <c r="A214" s="11" t="s">
        <v>593</v>
      </c>
      <c r="B214" s="13">
        <v>46064.0</v>
      </c>
      <c r="C214" s="15" t="s">
        <v>594</v>
      </c>
      <c r="D214" s="15" t="s">
        <v>9</v>
      </c>
      <c r="E214" s="13">
        <v>46063.0</v>
      </c>
      <c r="F214" s="18">
        <v>10610.0</v>
      </c>
    </row>
    <row r="215">
      <c r="A215" s="11" t="s">
        <v>595</v>
      </c>
      <c r="B215" s="13">
        <v>46072.0</v>
      </c>
      <c r="C215" s="15" t="s">
        <v>596</v>
      </c>
      <c r="D215" s="15" t="s">
        <v>43</v>
      </c>
      <c r="E215" s="13">
        <v>45707.0</v>
      </c>
      <c r="F215" s="18">
        <v>1000.0</v>
      </c>
    </row>
    <row r="216">
      <c r="A216" s="11" t="s">
        <v>599</v>
      </c>
      <c r="B216" s="13">
        <v>46068.0</v>
      </c>
      <c r="C216" s="15" t="s">
        <v>601</v>
      </c>
      <c r="D216" s="15" t="s">
        <v>27</v>
      </c>
      <c r="E216" s="13">
        <v>45703.0</v>
      </c>
      <c r="F216" s="18">
        <v>3300.0</v>
      </c>
    </row>
    <row r="217">
      <c r="A217" s="11" t="s">
        <v>602</v>
      </c>
      <c r="B217" s="13">
        <v>46069.0</v>
      </c>
      <c r="C217" s="15" t="s">
        <v>604</v>
      </c>
      <c r="D217" s="15" t="s">
        <v>27</v>
      </c>
      <c r="E217" s="13">
        <v>45704.0</v>
      </c>
      <c r="F217" s="18">
        <v>9000.0</v>
      </c>
    </row>
    <row r="218">
      <c r="A218" s="11" t="s">
        <v>606</v>
      </c>
      <c r="B218" s="13">
        <v>46068.0</v>
      </c>
      <c r="C218" s="15" t="s">
        <v>182</v>
      </c>
      <c r="D218" s="15" t="s">
        <v>27</v>
      </c>
      <c r="E218" s="13">
        <v>46068.0</v>
      </c>
      <c r="F218" s="18">
        <v>1100.0</v>
      </c>
    </row>
    <row r="219">
      <c r="A219" s="11" t="s">
        <v>608</v>
      </c>
      <c r="B219" s="13">
        <v>46070.0</v>
      </c>
      <c r="C219" s="15" t="s">
        <v>610</v>
      </c>
      <c r="D219" s="15" t="s">
        <v>43</v>
      </c>
      <c r="E219" s="13">
        <v>45698.0</v>
      </c>
      <c r="F219" s="18">
        <v>11170.0</v>
      </c>
    </row>
    <row r="220">
      <c r="A220" s="11" t="s">
        <v>612</v>
      </c>
      <c r="B220" s="13">
        <v>46074.0</v>
      </c>
      <c r="C220" s="15" t="s">
        <v>614</v>
      </c>
      <c r="D220" s="15" t="s">
        <v>27</v>
      </c>
      <c r="E220" s="13">
        <v>46074.0</v>
      </c>
      <c r="F220" s="18">
        <v>4020.0</v>
      </c>
    </row>
    <row r="221">
      <c r="A221" s="11" t="s">
        <v>615</v>
      </c>
      <c r="B221" s="13">
        <v>46081.0</v>
      </c>
      <c r="C221" s="15" t="s">
        <v>616</v>
      </c>
      <c r="D221" s="15" t="s">
        <v>27</v>
      </c>
      <c r="E221" s="13">
        <v>46081.0</v>
      </c>
      <c r="F221" s="18">
        <v>17291.0</v>
      </c>
    </row>
    <row r="222">
      <c r="A222" s="11" t="s">
        <v>617</v>
      </c>
      <c r="B222" s="13">
        <v>46081.0</v>
      </c>
      <c r="C222" s="15" t="s">
        <v>618</v>
      </c>
      <c r="D222" s="15" t="s">
        <v>27</v>
      </c>
      <c r="E222" s="13">
        <v>46083.0</v>
      </c>
      <c r="F222" s="18">
        <v>1000.0</v>
      </c>
    </row>
    <row r="223">
      <c r="A223" s="11" t="s">
        <v>619</v>
      </c>
      <c r="B223" s="13">
        <v>46082.0</v>
      </c>
      <c r="C223" s="15" t="s">
        <v>621</v>
      </c>
      <c r="D223" s="15" t="s">
        <v>27</v>
      </c>
      <c r="E223" s="13">
        <v>46082.0</v>
      </c>
      <c r="F223" s="18">
        <v>9000.0</v>
      </c>
    </row>
    <row r="224">
      <c r="A224" s="60">
        <v>46026.0</v>
      </c>
      <c r="B224" s="13">
        <v>46068.0</v>
      </c>
      <c r="C224" s="15" t="s">
        <v>622</v>
      </c>
      <c r="D224" s="15" t="s">
        <v>27</v>
      </c>
      <c r="E224" s="13">
        <v>46068.0</v>
      </c>
      <c r="F224" s="18">
        <v>2310.0</v>
      </c>
    </row>
    <row r="225">
      <c r="A225" s="60">
        <v>46057.0</v>
      </c>
      <c r="B225" s="13">
        <v>46083.0</v>
      </c>
      <c r="C225" s="15" t="s">
        <v>624</v>
      </c>
      <c r="D225" s="15" t="s">
        <v>27</v>
      </c>
      <c r="E225" s="13">
        <v>46083.0</v>
      </c>
      <c r="F225" s="18">
        <v>7658.0</v>
      </c>
    </row>
    <row r="226">
      <c r="A226" s="60">
        <v>46085.0</v>
      </c>
      <c r="B226" s="13">
        <v>46083.0</v>
      </c>
      <c r="C226" s="15" t="s">
        <v>625</v>
      </c>
      <c r="D226" s="15" t="s">
        <v>27</v>
      </c>
      <c r="E226" s="13">
        <v>46083.0</v>
      </c>
      <c r="F226" s="18">
        <v>6325.0</v>
      </c>
    </row>
    <row r="227">
      <c r="A227" s="60">
        <v>46116.0</v>
      </c>
      <c r="B227" s="13">
        <v>46100.0</v>
      </c>
      <c r="C227" s="15" t="s">
        <v>628</v>
      </c>
      <c r="D227" s="15" t="s">
        <v>43</v>
      </c>
      <c r="E227" s="13">
        <v>45735.0</v>
      </c>
      <c r="F227" s="18">
        <v>1000.0</v>
      </c>
    </row>
    <row r="228">
      <c r="A228" s="60">
        <v>46146.0</v>
      </c>
      <c r="B228" s="13">
        <v>46101.0</v>
      </c>
      <c r="C228" s="15" t="s">
        <v>630</v>
      </c>
      <c r="D228" s="15" t="s">
        <v>43</v>
      </c>
      <c r="E228" s="13">
        <v>45736.0</v>
      </c>
      <c r="F228" s="18">
        <v>1000.0</v>
      </c>
    </row>
    <row r="229">
      <c r="A229" s="60">
        <v>46177.0</v>
      </c>
      <c r="B229" s="13">
        <v>46103.0</v>
      </c>
      <c r="C229" s="15" t="s">
        <v>633</v>
      </c>
      <c r="D229" s="15" t="s">
        <v>9</v>
      </c>
      <c r="E229" s="13">
        <v>46103.0</v>
      </c>
      <c r="F229" s="18">
        <v>113700.0</v>
      </c>
    </row>
    <row r="230">
      <c r="A230" s="60">
        <v>46207.0</v>
      </c>
      <c r="B230" s="13">
        <v>46103.0</v>
      </c>
      <c r="C230" s="15" t="s">
        <v>636</v>
      </c>
      <c r="D230" s="15" t="s">
        <v>43</v>
      </c>
      <c r="E230" s="13">
        <v>46102.0</v>
      </c>
      <c r="F230" s="18">
        <v>580.0</v>
      </c>
    </row>
    <row r="231">
      <c r="A231" s="60">
        <v>46238.0</v>
      </c>
      <c r="B231" s="13">
        <v>46103.0</v>
      </c>
      <c r="C231" s="15" t="s">
        <v>638</v>
      </c>
      <c r="D231" s="15" t="s">
        <v>9</v>
      </c>
      <c r="E231" s="13">
        <v>46083.0</v>
      </c>
      <c r="F231" s="18">
        <v>2270.0</v>
      </c>
    </row>
    <row r="232">
      <c r="A232" s="60">
        <v>46269.0</v>
      </c>
      <c r="B232" s="13">
        <v>46126.0</v>
      </c>
      <c r="C232" s="15" t="s">
        <v>640</v>
      </c>
      <c r="D232" s="15" t="s">
        <v>9</v>
      </c>
      <c r="E232" s="13">
        <v>46126.0</v>
      </c>
      <c r="F232" s="18">
        <v>7920.0</v>
      </c>
    </row>
    <row r="233">
      <c r="A233" s="60">
        <v>46299.0</v>
      </c>
      <c r="B233" s="13">
        <v>46126.0</v>
      </c>
      <c r="C233" s="15" t="s">
        <v>641</v>
      </c>
      <c r="D233" s="15" t="s">
        <v>9</v>
      </c>
      <c r="E233" s="13">
        <v>46101.0</v>
      </c>
      <c r="F233" s="18">
        <v>5690.0</v>
      </c>
    </row>
    <row r="234">
      <c r="A234" s="60">
        <v>46330.0</v>
      </c>
      <c r="B234" s="13">
        <v>46126.0</v>
      </c>
      <c r="C234" s="15" t="s">
        <v>645</v>
      </c>
      <c r="D234" s="15" t="s">
        <v>9</v>
      </c>
      <c r="E234" s="13">
        <v>46083.0</v>
      </c>
      <c r="F234" s="18">
        <v>4130.0</v>
      </c>
    </row>
    <row r="235">
      <c r="A235" s="60">
        <v>46360.0</v>
      </c>
      <c r="B235" s="13">
        <v>46126.0</v>
      </c>
      <c r="C235" s="15" t="s">
        <v>647</v>
      </c>
      <c r="D235" s="15" t="s">
        <v>30</v>
      </c>
      <c r="E235" s="13">
        <v>46017.0</v>
      </c>
      <c r="F235" s="18">
        <v>12700.0</v>
      </c>
    </row>
    <row r="236">
      <c r="A236" s="11" t="s">
        <v>648</v>
      </c>
      <c r="B236" s="13">
        <v>46126.0</v>
      </c>
      <c r="C236" s="15" t="s">
        <v>649</v>
      </c>
      <c r="D236" s="15" t="s">
        <v>27</v>
      </c>
      <c r="E236" s="13">
        <v>46110.0</v>
      </c>
      <c r="F236" s="18">
        <v>3810.0</v>
      </c>
    </row>
    <row r="237">
      <c r="A237" s="11" t="s">
        <v>650</v>
      </c>
      <c r="B237" s="13">
        <v>46126.0</v>
      </c>
      <c r="C237" s="15" t="s">
        <v>652</v>
      </c>
      <c r="D237" s="15" t="s">
        <v>27</v>
      </c>
      <c r="E237" s="13">
        <v>46110.0</v>
      </c>
      <c r="F237" s="18">
        <v>17110.0</v>
      </c>
    </row>
    <row r="238">
      <c r="A238" s="11" t="s">
        <v>654</v>
      </c>
      <c r="B238" s="13">
        <v>46126.0</v>
      </c>
      <c r="C238" s="15" t="s">
        <v>655</v>
      </c>
      <c r="D238" s="15" t="s">
        <v>27</v>
      </c>
      <c r="E238" s="13">
        <v>46110.0</v>
      </c>
      <c r="F238" s="18">
        <v>4550.0</v>
      </c>
    </row>
    <row r="239">
      <c r="A239" s="11" t="s">
        <v>658</v>
      </c>
      <c r="B239" s="13">
        <v>46126.0</v>
      </c>
      <c r="C239" s="15" t="s">
        <v>659</v>
      </c>
      <c r="D239" s="15" t="s">
        <v>43</v>
      </c>
      <c r="E239" s="13" t="s">
        <v>153</v>
      </c>
      <c r="F239" s="18">
        <v>4800.0</v>
      </c>
    </row>
    <row r="240">
      <c r="A240" s="11" t="s">
        <v>660</v>
      </c>
      <c r="B240" s="13">
        <v>46138.0</v>
      </c>
      <c r="C240" s="15" t="s">
        <v>661</v>
      </c>
      <c r="D240" s="15" t="s">
        <v>9</v>
      </c>
      <c r="E240" s="13">
        <v>46138.0</v>
      </c>
      <c r="F240" s="18">
        <v>15000.0</v>
      </c>
    </row>
    <row r="241">
      <c r="A241" s="11" t="s">
        <v>663</v>
      </c>
      <c r="B241" s="13">
        <v>46149.0</v>
      </c>
      <c r="C241" s="15" t="s">
        <v>664</v>
      </c>
      <c r="D241" s="13" t="s">
        <v>416</v>
      </c>
      <c r="E241" s="13">
        <v>46149.0</v>
      </c>
      <c r="F241" s="18">
        <v>3000.0</v>
      </c>
    </row>
    <row r="242">
      <c r="A242" s="11" t="s">
        <v>666</v>
      </c>
      <c r="B242" s="13">
        <v>46149.0</v>
      </c>
      <c r="C242" s="15" t="s">
        <v>667</v>
      </c>
      <c r="D242" s="13" t="s">
        <v>43</v>
      </c>
      <c r="E242" s="13">
        <v>46149.0</v>
      </c>
      <c r="F242" s="18">
        <v>2000.0</v>
      </c>
    </row>
    <row r="243">
      <c r="A243" s="11" t="s">
        <v>669</v>
      </c>
      <c r="B243" s="13">
        <v>46149.0</v>
      </c>
      <c r="C243" s="15" t="s">
        <v>670</v>
      </c>
      <c r="D243" s="13" t="s">
        <v>27</v>
      </c>
      <c r="E243" s="13">
        <v>46149.0</v>
      </c>
      <c r="F243" s="18">
        <v>20000.0</v>
      </c>
    </row>
    <row r="244">
      <c r="A244" s="11" t="s">
        <v>673</v>
      </c>
      <c r="B244" s="13">
        <v>46149.0</v>
      </c>
      <c r="C244" s="15" t="s">
        <v>675</v>
      </c>
      <c r="D244" s="13" t="s">
        <v>43</v>
      </c>
      <c r="E244" s="13">
        <v>46149.0</v>
      </c>
      <c r="F244" s="18">
        <v>2400.0</v>
      </c>
    </row>
    <row r="245">
      <c r="A245" s="64"/>
      <c r="B245" s="47"/>
      <c r="C245" s="47"/>
      <c r="D245" s="65"/>
      <c r="E245" s="47"/>
      <c r="F245" s="66"/>
    </row>
    <row r="246">
      <c r="A246" s="64"/>
      <c r="B246" s="47"/>
      <c r="C246" s="47"/>
      <c r="D246" s="47"/>
      <c r="E246" s="47"/>
      <c r="F246" s="67"/>
    </row>
    <row r="247">
      <c r="A247" s="64"/>
      <c r="B247" s="47"/>
      <c r="C247" s="47"/>
      <c r="D247" s="47"/>
      <c r="E247" s="47"/>
      <c r="F247" s="67"/>
    </row>
    <row r="248">
      <c r="A248" s="64"/>
      <c r="B248" s="47"/>
      <c r="C248" s="47"/>
      <c r="D248" s="47"/>
      <c r="E248" s="47"/>
      <c r="F248" s="67"/>
    </row>
    <row r="249">
      <c r="A249" s="64"/>
      <c r="B249" s="47"/>
      <c r="C249" s="47"/>
      <c r="D249" s="47"/>
      <c r="E249" s="47"/>
      <c r="F249" s="67"/>
    </row>
    <row r="250">
      <c r="A250" s="64"/>
      <c r="B250" s="47"/>
      <c r="C250" s="47"/>
      <c r="D250" s="47"/>
      <c r="E250" s="47"/>
      <c r="F250" s="67"/>
    </row>
    <row r="251">
      <c r="A251" s="64"/>
      <c r="B251" s="47"/>
      <c r="C251" s="47"/>
      <c r="D251" s="47"/>
      <c r="E251" s="47"/>
      <c r="F251" s="67"/>
    </row>
    <row r="252">
      <c r="A252" s="64"/>
      <c r="B252" s="47"/>
      <c r="C252" s="47"/>
      <c r="D252" s="47"/>
      <c r="E252" s="47"/>
      <c r="F252" s="67"/>
    </row>
    <row r="253">
      <c r="A253" s="64"/>
      <c r="B253" s="47"/>
      <c r="C253" s="47"/>
      <c r="D253" s="47"/>
      <c r="E253" s="47"/>
      <c r="F253" s="67"/>
    </row>
    <row r="254">
      <c r="A254" s="64"/>
      <c r="B254" s="47"/>
      <c r="C254" s="47"/>
      <c r="D254" s="47"/>
      <c r="E254" s="47"/>
      <c r="F254" s="67"/>
    </row>
    <row r="255">
      <c r="A255" s="64"/>
      <c r="B255" s="47"/>
      <c r="C255" s="47"/>
      <c r="D255" s="47"/>
      <c r="E255" s="47"/>
      <c r="F255" s="67"/>
    </row>
    <row r="256">
      <c r="A256" s="64"/>
      <c r="B256" s="47"/>
      <c r="C256" s="47"/>
      <c r="D256" s="47"/>
      <c r="E256" s="47"/>
      <c r="F256" s="67"/>
    </row>
    <row r="257">
      <c r="A257" s="64"/>
      <c r="B257" s="47"/>
      <c r="C257" s="47"/>
      <c r="D257" s="47"/>
      <c r="E257" s="47"/>
      <c r="F257" s="67"/>
    </row>
    <row r="258">
      <c r="A258" s="64"/>
      <c r="B258" s="47"/>
      <c r="C258" s="47"/>
      <c r="D258" s="47"/>
      <c r="E258" s="47"/>
      <c r="F258" s="67"/>
    </row>
    <row r="259">
      <c r="A259" s="64"/>
      <c r="B259" s="47"/>
      <c r="C259" s="47"/>
      <c r="D259" s="47"/>
      <c r="E259" s="47"/>
      <c r="F259" s="67"/>
    </row>
    <row r="260">
      <c r="A260" s="64"/>
      <c r="B260" s="47"/>
      <c r="C260" s="47"/>
      <c r="D260" s="47"/>
      <c r="E260" s="47"/>
      <c r="F260" s="67"/>
    </row>
    <row r="261">
      <c r="A261" s="64"/>
      <c r="B261" s="47"/>
      <c r="C261" s="47"/>
      <c r="D261" s="47"/>
      <c r="E261" s="47"/>
      <c r="F261" s="67"/>
    </row>
    <row r="262">
      <c r="A262" s="64"/>
      <c r="B262" s="47"/>
      <c r="C262" s="47"/>
      <c r="D262" s="47"/>
      <c r="E262" s="47"/>
      <c r="F262" s="67"/>
    </row>
    <row r="263">
      <c r="A263" s="64"/>
      <c r="B263" s="47"/>
      <c r="C263" s="47"/>
      <c r="D263" s="47"/>
      <c r="E263" s="47"/>
      <c r="F263" s="67"/>
    </row>
    <row r="264">
      <c r="A264" s="64"/>
      <c r="B264" s="47"/>
      <c r="C264" s="47"/>
      <c r="D264" s="47"/>
      <c r="E264" s="47"/>
      <c r="F264" s="67"/>
    </row>
    <row r="265">
      <c r="A265" s="64"/>
      <c r="B265" s="47"/>
      <c r="C265" s="47"/>
      <c r="D265" s="47"/>
      <c r="E265" s="47"/>
      <c r="F265" s="67"/>
    </row>
    <row r="266">
      <c r="A266" s="64"/>
      <c r="B266" s="47"/>
      <c r="C266" s="47"/>
      <c r="D266" s="47"/>
      <c r="E266" s="47"/>
      <c r="F266" s="67"/>
    </row>
    <row r="267">
      <c r="A267" s="64"/>
      <c r="B267" s="47"/>
      <c r="C267" s="47"/>
      <c r="D267" s="47"/>
      <c r="E267" s="47"/>
      <c r="F267" s="67"/>
    </row>
    <row r="268">
      <c r="A268" s="64"/>
      <c r="B268" s="47"/>
      <c r="C268" s="47"/>
      <c r="D268" s="47"/>
      <c r="E268" s="47"/>
      <c r="F268" s="67"/>
    </row>
    <row r="269">
      <c r="A269" s="64"/>
      <c r="B269" s="47"/>
      <c r="C269" s="47"/>
      <c r="D269" s="47"/>
      <c r="E269" s="47"/>
      <c r="F269" s="67"/>
    </row>
    <row r="270">
      <c r="A270" s="64"/>
      <c r="B270" s="47"/>
      <c r="C270" s="47"/>
      <c r="D270" s="47"/>
      <c r="E270" s="47"/>
      <c r="F270" s="67"/>
    </row>
    <row r="271">
      <c r="A271" s="64"/>
      <c r="B271" s="47"/>
      <c r="C271" s="47"/>
      <c r="D271" s="47"/>
      <c r="E271" s="47"/>
      <c r="F271" s="67"/>
    </row>
    <row r="272">
      <c r="A272" s="64"/>
      <c r="B272" s="47"/>
      <c r="C272" s="47"/>
      <c r="D272" s="47"/>
      <c r="E272" s="47"/>
      <c r="F272" s="67"/>
    </row>
    <row r="273">
      <c r="A273" s="64"/>
      <c r="B273" s="47"/>
      <c r="C273" s="47"/>
      <c r="D273" s="47"/>
      <c r="E273" s="47"/>
      <c r="F273" s="67"/>
    </row>
    <row r="274">
      <c r="A274" s="64"/>
      <c r="B274" s="47"/>
      <c r="C274" s="47"/>
      <c r="D274" s="47"/>
      <c r="E274" s="47"/>
      <c r="F274" s="67"/>
    </row>
    <row r="275">
      <c r="A275" s="64"/>
      <c r="B275" s="47"/>
      <c r="C275" s="47"/>
      <c r="D275" s="47"/>
      <c r="E275" s="47"/>
      <c r="F275" s="67"/>
    </row>
    <row r="276">
      <c r="A276" s="64"/>
      <c r="B276" s="47"/>
      <c r="C276" s="47"/>
      <c r="D276" s="47"/>
      <c r="E276" s="47"/>
      <c r="F276" s="67"/>
    </row>
    <row r="277">
      <c r="A277" s="64"/>
      <c r="B277" s="47"/>
      <c r="C277" s="47"/>
      <c r="D277" s="47"/>
      <c r="E277" s="47"/>
      <c r="F277" s="67"/>
    </row>
    <row r="278">
      <c r="A278" s="64"/>
      <c r="B278" s="47"/>
      <c r="C278" s="47"/>
      <c r="D278" s="47"/>
      <c r="E278" s="47"/>
      <c r="F278" s="67"/>
    </row>
    <row r="279">
      <c r="A279" s="64"/>
      <c r="B279" s="47"/>
      <c r="C279" s="47"/>
      <c r="D279" s="47"/>
      <c r="E279" s="47"/>
      <c r="F279" s="67"/>
    </row>
    <row r="280">
      <c r="A280" s="64"/>
      <c r="B280" s="47"/>
      <c r="C280" s="47"/>
      <c r="D280" s="47"/>
      <c r="E280" s="47"/>
      <c r="F280" s="67"/>
    </row>
    <row r="281">
      <c r="A281" s="64"/>
      <c r="B281" s="47"/>
      <c r="C281" s="47"/>
      <c r="D281" s="47"/>
      <c r="E281" s="47"/>
      <c r="F281" s="67"/>
    </row>
    <row r="282">
      <c r="A282" s="64"/>
      <c r="B282" s="47"/>
      <c r="C282" s="47"/>
      <c r="D282" s="47"/>
      <c r="E282" s="47"/>
      <c r="F282" s="67"/>
    </row>
    <row r="283">
      <c r="A283" s="64"/>
      <c r="B283" s="47"/>
      <c r="C283" s="47"/>
      <c r="D283" s="47"/>
      <c r="E283" s="47"/>
      <c r="F283" s="67"/>
    </row>
    <row r="284">
      <c r="A284" s="64"/>
      <c r="B284" s="47"/>
      <c r="C284" s="47"/>
      <c r="D284" s="47"/>
      <c r="E284" s="47"/>
      <c r="F284" s="67"/>
    </row>
    <row r="285">
      <c r="A285" s="64"/>
      <c r="B285" s="47"/>
      <c r="C285" s="47"/>
      <c r="D285" s="47"/>
      <c r="E285" s="47"/>
      <c r="F285" s="67"/>
    </row>
    <row r="286">
      <c r="A286" s="64"/>
      <c r="B286" s="47"/>
      <c r="C286" s="47"/>
      <c r="D286" s="47"/>
      <c r="E286" s="47"/>
      <c r="F286" s="67"/>
    </row>
    <row r="287">
      <c r="A287" s="64"/>
      <c r="B287" s="47"/>
      <c r="C287" s="47"/>
      <c r="D287" s="47"/>
      <c r="E287" s="47"/>
      <c r="F287" s="67"/>
    </row>
    <row r="288">
      <c r="A288" s="64"/>
      <c r="B288" s="47"/>
      <c r="C288" s="47"/>
      <c r="D288" s="47"/>
      <c r="E288" s="47"/>
      <c r="F288" s="67"/>
    </row>
    <row r="289">
      <c r="A289" s="64"/>
      <c r="B289" s="47"/>
      <c r="C289" s="47"/>
      <c r="D289" s="47"/>
      <c r="E289" s="47"/>
      <c r="F289" s="67"/>
    </row>
    <row r="290">
      <c r="A290" s="64"/>
      <c r="B290" s="47"/>
      <c r="C290" s="47"/>
      <c r="D290" s="47"/>
      <c r="E290" s="47"/>
      <c r="F290" s="67"/>
    </row>
    <row r="291">
      <c r="A291" s="64"/>
      <c r="B291" s="47"/>
      <c r="C291" s="47"/>
      <c r="D291" s="47"/>
      <c r="E291" s="47"/>
      <c r="F291" s="67"/>
    </row>
    <row r="292">
      <c r="A292" s="64"/>
      <c r="B292" s="47"/>
      <c r="C292" s="47"/>
      <c r="D292" s="47"/>
      <c r="E292" s="47"/>
      <c r="F292" s="67"/>
    </row>
    <row r="293">
      <c r="A293" s="64"/>
      <c r="B293" s="47"/>
      <c r="C293" s="47"/>
      <c r="D293" s="47"/>
      <c r="E293" s="47"/>
      <c r="F293" s="67"/>
    </row>
    <row r="294">
      <c r="A294" s="64"/>
      <c r="B294" s="47"/>
      <c r="C294" s="47"/>
      <c r="D294" s="47"/>
      <c r="E294" s="47"/>
      <c r="F294" s="67"/>
    </row>
    <row r="295">
      <c r="A295" s="64"/>
      <c r="B295" s="47"/>
      <c r="C295" s="47"/>
      <c r="D295" s="47"/>
      <c r="E295" s="47"/>
      <c r="F295" s="67"/>
    </row>
    <row r="296">
      <c r="A296" s="64"/>
      <c r="B296" s="47"/>
      <c r="C296" s="47"/>
      <c r="D296" s="47"/>
      <c r="E296" s="47"/>
      <c r="F296" s="67"/>
    </row>
    <row r="297">
      <c r="A297" s="64"/>
      <c r="B297" s="47"/>
      <c r="C297" s="47"/>
      <c r="D297" s="47"/>
      <c r="E297" s="47"/>
      <c r="F297" s="67"/>
    </row>
    <row r="298">
      <c r="A298" s="64"/>
      <c r="B298" s="47"/>
      <c r="C298" s="47"/>
      <c r="D298" s="47"/>
      <c r="E298" s="47"/>
      <c r="F298" s="67"/>
    </row>
    <row r="299">
      <c r="A299" s="64"/>
      <c r="B299" s="47"/>
      <c r="C299" s="47"/>
      <c r="D299" s="47"/>
      <c r="E299" s="47"/>
      <c r="F299" s="67"/>
    </row>
    <row r="300">
      <c r="A300" s="64"/>
      <c r="B300" s="47"/>
      <c r="C300" s="47"/>
      <c r="D300" s="47"/>
      <c r="E300" s="47"/>
      <c r="F300" s="67"/>
    </row>
    <row r="301">
      <c r="A301" s="64"/>
      <c r="B301" s="47"/>
      <c r="C301" s="47"/>
      <c r="D301" s="47"/>
      <c r="E301" s="47"/>
      <c r="F301" s="67"/>
    </row>
    <row r="302">
      <c r="A302" s="64"/>
      <c r="B302" s="47"/>
      <c r="C302" s="47"/>
      <c r="D302" s="47"/>
      <c r="E302" s="47"/>
      <c r="F302" s="67"/>
    </row>
    <row r="303">
      <c r="A303" s="64"/>
      <c r="B303" s="47"/>
      <c r="C303" s="47"/>
      <c r="D303" s="47"/>
      <c r="E303" s="47"/>
      <c r="F303" s="67"/>
    </row>
    <row r="304">
      <c r="A304" s="64"/>
      <c r="B304" s="47"/>
      <c r="C304" s="47"/>
      <c r="D304" s="47"/>
      <c r="E304" s="47"/>
      <c r="F304" s="67"/>
    </row>
    <row r="305">
      <c r="A305" s="64"/>
      <c r="B305" s="47"/>
      <c r="C305" s="47"/>
      <c r="D305" s="47"/>
      <c r="E305" s="47"/>
      <c r="F305" s="67"/>
    </row>
    <row r="306">
      <c r="A306" s="64"/>
      <c r="B306" s="47"/>
      <c r="C306" s="47"/>
      <c r="D306" s="47"/>
      <c r="E306" s="47"/>
      <c r="F306" s="67"/>
    </row>
    <row r="307">
      <c r="A307" s="64"/>
      <c r="B307" s="47"/>
      <c r="C307" s="47"/>
      <c r="D307" s="47"/>
      <c r="E307" s="47"/>
      <c r="F307" s="67"/>
    </row>
    <row r="308">
      <c r="A308" s="64"/>
      <c r="B308" s="47"/>
      <c r="C308" s="47"/>
      <c r="D308" s="47"/>
      <c r="E308" s="47"/>
      <c r="F308" s="67"/>
    </row>
    <row r="309">
      <c r="A309" s="64"/>
      <c r="B309" s="47"/>
      <c r="C309" s="47"/>
      <c r="D309" s="47"/>
      <c r="E309" s="47"/>
      <c r="F309" s="67"/>
    </row>
    <row r="310">
      <c r="A310" s="64"/>
      <c r="B310" s="47"/>
      <c r="C310" s="47"/>
      <c r="D310" s="47"/>
      <c r="E310" s="47"/>
      <c r="F310" s="67"/>
    </row>
    <row r="311">
      <c r="A311" s="64"/>
      <c r="B311" s="47"/>
      <c r="C311" s="47"/>
      <c r="D311" s="47"/>
      <c r="E311" s="47"/>
      <c r="F311" s="67"/>
    </row>
    <row r="312">
      <c r="A312" s="64"/>
      <c r="B312" s="47"/>
      <c r="C312" s="47"/>
      <c r="D312" s="47"/>
      <c r="E312" s="47"/>
      <c r="F312" s="67"/>
    </row>
    <row r="313">
      <c r="A313" s="64"/>
      <c r="B313" s="47"/>
      <c r="C313" s="47"/>
      <c r="D313" s="47"/>
      <c r="E313" s="47"/>
      <c r="F313" s="67"/>
    </row>
    <row r="314">
      <c r="A314" s="64"/>
      <c r="B314" s="47"/>
      <c r="C314" s="47"/>
      <c r="D314" s="47"/>
      <c r="E314" s="47"/>
      <c r="F314" s="67"/>
    </row>
    <row r="315">
      <c r="A315" s="64"/>
      <c r="B315" s="47"/>
      <c r="C315" s="47"/>
      <c r="D315" s="47"/>
      <c r="E315" s="47"/>
      <c r="F315" s="67"/>
    </row>
    <row r="316">
      <c r="A316" s="64"/>
      <c r="B316" s="47"/>
      <c r="C316" s="47"/>
      <c r="D316" s="47"/>
      <c r="E316" s="47"/>
      <c r="F316" s="67"/>
    </row>
    <row r="317">
      <c r="A317" s="64"/>
      <c r="B317" s="47"/>
      <c r="C317" s="47"/>
      <c r="D317" s="47"/>
      <c r="E317" s="47"/>
      <c r="F317" s="67"/>
    </row>
    <row r="318">
      <c r="A318" s="64"/>
      <c r="B318" s="47"/>
      <c r="C318" s="47"/>
      <c r="D318" s="47"/>
      <c r="E318" s="47"/>
      <c r="F318" s="67"/>
    </row>
    <row r="319">
      <c r="A319" s="64"/>
      <c r="B319" s="47"/>
      <c r="C319" s="47"/>
      <c r="D319" s="47"/>
      <c r="E319" s="47"/>
      <c r="F319" s="67"/>
    </row>
    <row r="320">
      <c r="A320" s="64"/>
      <c r="B320" s="47"/>
      <c r="C320" s="47"/>
      <c r="D320" s="47"/>
      <c r="E320" s="47"/>
      <c r="F320" s="67"/>
    </row>
    <row r="321">
      <c r="A321" s="64"/>
      <c r="B321" s="47"/>
      <c r="C321" s="47"/>
      <c r="D321" s="47"/>
      <c r="E321" s="47"/>
      <c r="F321" s="67"/>
    </row>
    <row r="322">
      <c r="A322" s="64"/>
      <c r="B322" s="47"/>
      <c r="C322" s="47"/>
      <c r="D322" s="47"/>
      <c r="E322" s="47"/>
      <c r="F322" s="67"/>
    </row>
    <row r="323">
      <c r="A323" s="64"/>
      <c r="B323" s="47"/>
      <c r="C323" s="47"/>
      <c r="D323" s="47"/>
      <c r="E323" s="47"/>
      <c r="F323" s="67"/>
    </row>
    <row r="324">
      <c r="A324" s="64"/>
      <c r="B324" s="47"/>
      <c r="C324" s="47"/>
      <c r="D324" s="47"/>
      <c r="E324" s="47"/>
      <c r="F324" s="67"/>
    </row>
    <row r="325">
      <c r="A325" s="64"/>
      <c r="B325" s="47"/>
      <c r="C325" s="47"/>
      <c r="D325" s="47"/>
      <c r="E325" s="47"/>
      <c r="F325" s="67"/>
    </row>
    <row r="326">
      <c r="A326" s="64"/>
      <c r="B326" s="47"/>
      <c r="C326" s="47"/>
      <c r="D326" s="47"/>
      <c r="E326" s="47"/>
      <c r="F326" s="67"/>
    </row>
    <row r="327">
      <c r="A327" s="64"/>
      <c r="B327" s="47"/>
      <c r="C327" s="47"/>
      <c r="D327" s="47"/>
      <c r="E327" s="47"/>
      <c r="F327" s="67"/>
    </row>
    <row r="328">
      <c r="A328" s="64"/>
      <c r="B328" s="47"/>
      <c r="C328" s="47"/>
      <c r="D328" s="47"/>
      <c r="E328" s="47"/>
      <c r="F328" s="67"/>
    </row>
    <row r="329">
      <c r="A329" s="64"/>
      <c r="B329" s="47"/>
      <c r="C329" s="47"/>
      <c r="D329" s="47"/>
      <c r="E329" s="47"/>
      <c r="F329" s="67"/>
    </row>
    <row r="330">
      <c r="A330" s="64"/>
      <c r="B330" s="47"/>
      <c r="C330" s="47"/>
      <c r="D330" s="47"/>
      <c r="E330" s="47"/>
      <c r="F330" s="67"/>
    </row>
    <row r="331">
      <c r="A331" s="64"/>
      <c r="B331" s="47"/>
      <c r="C331" s="47"/>
      <c r="D331" s="47"/>
      <c r="E331" s="47"/>
      <c r="F331" s="67"/>
    </row>
    <row r="332">
      <c r="A332" s="64"/>
      <c r="B332" s="47"/>
      <c r="C332" s="47"/>
      <c r="D332" s="47"/>
      <c r="E332" s="47"/>
      <c r="F332" s="67"/>
    </row>
    <row r="333">
      <c r="A333" s="64"/>
      <c r="B333" s="47"/>
      <c r="C333" s="47"/>
      <c r="D333" s="47"/>
      <c r="E333" s="47"/>
      <c r="F333" s="67"/>
    </row>
    <row r="334">
      <c r="A334" s="64"/>
      <c r="B334" s="47"/>
      <c r="C334" s="47"/>
      <c r="D334" s="47"/>
      <c r="E334" s="47"/>
      <c r="F334" s="67"/>
    </row>
    <row r="335">
      <c r="A335" s="64"/>
      <c r="B335" s="47"/>
      <c r="C335" s="47"/>
      <c r="D335" s="47"/>
      <c r="E335" s="47"/>
      <c r="F335" s="67"/>
    </row>
    <row r="336">
      <c r="A336" s="64"/>
      <c r="B336" s="47"/>
      <c r="C336" s="47"/>
      <c r="D336" s="47"/>
      <c r="E336" s="47"/>
      <c r="F336" s="67"/>
    </row>
    <row r="337">
      <c r="A337" s="64"/>
      <c r="B337" s="47"/>
      <c r="C337" s="47"/>
      <c r="D337" s="47"/>
      <c r="E337" s="47"/>
      <c r="F337" s="67"/>
    </row>
    <row r="338">
      <c r="A338" s="64"/>
      <c r="B338" s="47"/>
      <c r="C338" s="47"/>
      <c r="D338" s="47"/>
      <c r="E338" s="47"/>
      <c r="F338" s="67"/>
    </row>
    <row r="339">
      <c r="A339" s="64"/>
      <c r="B339" s="47"/>
      <c r="C339" s="47"/>
      <c r="D339" s="47"/>
      <c r="E339" s="47"/>
      <c r="F339" s="67"/>
    </row>
    <row r="340">
      <c r="A340" s="64"/>
      <c r="B340" s="47"/>
      <c r="C340" s="47"/>
      <c r="D340" s="47"/>
      <c r="E340" s="47"/>
      <c r="F340" s="67"/>
    </row>
    <row r="341">
      <c r="A341" s="64"/>
      <c r="B341" s="47"/>
      <c r="C341" s="47"/>
      <c r="D341" s="47"/>
      <c r="E341" s="47"/>
      <c r="F341" s="67"/>
    </row>
    <row r="342">
      <c r="A342" s="64"/>
      <c r="B342" s="47"/>
      <c r="C342" s="47"/>
      <c r="D342" s="47"/>
      <c r="E342" s="47"/>
      <c r="F342" s="67"/>
    </row>
    <row r="343">
      <c r="A343" s="64"/>
      <c r="B343" s="47"/>
      <c r="C343" s="47"/>
      <c r="D343" s="47"/>
      <c r="E343" s="47"/>
      <c r="F343" s="67"/>
    </row>
    <row r="344">
      <c r="A344" s="64"/>
      <c r="B344" s="47"/>
      <c r="C344" s="47"/>
      <c r="D344" s="47"/>
      <c r="E344" s="47"/>
      <c r="F344" s="67"/>
    </row>
    <row r="345">
      <c r="A345" s="64"/>
      <c r="B345" s="47"/>
      <c r="C345" s="47"/>
      <c r="D345" s="47"/>
      <c r="E345" s="47"/>
      <c r="F345" s="67"/>
    </row>
    <row r="346">
      <c r="A346" s="64"/>
      <c r="B346" s="47"/>
      <c r="C346" s="47"/>
      <c r="D346" s="47"/>
      <c r="E346" s="47"/>
      <c r="F346" s="67"/>
    </row>
    <row r="347">
      <c r="A347" s="64"/>
      <c r="B347" s="47"/>
      <c r="C347" s="47"/>
      <c r="D347" s="47"/>
      <c r="E347" s="47"/>
      <c r="F347" s="67"/>
    </row>
    <row r="348">
      <c r="A348" s="64"/>
      <c r="B348" s="47"/>
      <c r="C348" s="47"/>
      <c r="D348" s="47"/>
      <c r="E348" s="47"/>
      <c r="F348" s="67"/>
    </row>
    <row r="349">
      <c r="A349" s="64"/>
      <c r="B349" s="47"/>
      <c r="C349" s="47"/>
      <c r="D349" s="47"/>
      <c r="E349" s="47"/>
      <c r="F349" s="67"/>
    </row>
    <row r="350">
      <c r="A350" s="64"/>
      <c r="B350" s="47"/>
      <c r="C350" s="47"/>
      <c r="D350" s="47"/>
      <c r="E350" s="47"/>
      <c r="F350" s="67"/>
    </row>
    <row r="351">
      <c r="A351" s="64"/>
      <c r="B351" s="47"/>
      <c r="C351" s="47"/>
      <c r="D351" s="47"/>
      <c r="E351" s="47"/>
      <c r="F351" s="67"/>
    </row>
    <row r="352">
      <c r="A352" s="64"/>
      <c r="B352" s="47"/>
      <c r="C352" s="47"/>
      <c r="D352" s="47"/>
      <c r="E352" s="47"/>
      <c r="F352" s="67"/>
    </row>
    <row r="353">
      <c r="A353" s="64"/>
      <c r="B353" s="47"/>
      <c r="C353" s="47"/>
      <c r="D353" s="47"/>
      <c r="E353" s="47"/>
      <c r="F353" s="67"/>
    </row>
    <row r="354">
      <c r="A354" s="64"/>
      <c r="B354" s="47"/>
      <c r="C354" s="47"/>
      <c r="D354" s="47"/>
      <c r="E354" s="47"/>
      <c r="F354" s="67"/>
    </row>
    <row r="355">
      <c r="A355" s="64"/>
      <c r="B355" s="47"/>
      <c r="C355" s="47"/>
      <c r="D355" s="47"/>
      <c r="E355" s="47"/>
      <c r="F355" s="67"/>
    </row>
    <row r="356">
      <c r="A356" s="64"/>
      <c r="B356" s="47"/>
      <c r="C356" s="47"/>
      <c r="D356" s="47"/>
      <c r="E356" s="47"/>
      <c r="F356" s="67"/>
    </row>
    <row r="357">
      <c r="A357" s="64"/>
      <c r="B357" s="47"/>
      <c r="C357" s="47"/>
      <c r="D357" s="47"/>
      <c r="E357" s="47"/>
      <c r="F357" s="67"/>
    </row>
    <row r="358">
      <c r="A358" s="64"/>
      <c r="B358" s="47"/>
      <c r="C358" s="47"/>
      <c r="D358" s="47"/>
      <c r="E358" s="47"/>
      <c r="F358" s="67"/>
    </row>
    <row r="359">
      <c r="A359" s="64"/>
      <c r="B359" s="47"/>
      <c r="C359" s="47"/>
      <c r="D359" s="47"/>
      <c r="E359" s="47"/>
      <c r="F359" s="67"/>
    </row>
    <row r="360">
      <c r="A360" s="64"/>
      <c r="B360" s="47"/>
      <c r="C360" s="47"/>
      <c r="D360" s="47"/>
      <c r="E360" s="47"/>
      <c r="F360" s="67"/>
    </row>
    <row r="361">
      <c r="A361" s="64"/>
      <c r="B361" s="47"/>
      <c r="C361" s="47"/>
      <c r="D361" s="47"/>
      <c r="E361" s="47"/>
      <c r="F361" s="67"/>
    </row>
    <row r="362">
      <c r="A362" s="64"/>
      <c r="B362" s="47"/>
      <c r="C362" s="47"/>
      <c r="D362" s="47"/>
      <c r="E362" s="47"/>
      <c r="F362" s="67"/>
    </row>
    <row r="363">
      <c r="A363" s="64"/>
      <c r="B363" s="47"/>
      <c r="C363" s="47"/>
      <c r="D363" s="47"/>
      <c r="E363" s="47"/>
      <c r="F363" s="67"/>
    </row>
    <row r="364">
      <c r="A364" s="64"/>
      <c r="B364" s="47"/>
      <c r="C364" s="47"/>
      <c r="D364" s="47"/>
      <c r="E364" s="47"/>
      <c r="F364" s="67"/>
    </row>
    <row r="365">
      <c r="A365" s="64"/>
      <c r="B365" s="47"/>
      <c r="C365" s="47"/>
      <c r="D365" s="47"/>
      <c r="E365" s="47"/>
      <c r="F365" s="67"/>
    </row>
    <row r="366">
      <c r="A366" s="64"/>
      <c r="B366" s="47"/>
      <c r="C366" s="47"/>
      <c r="D366" s="47"/>
      <c r="E366" s="47"/>
      <c r="F366" s="67"/>
    </row>
    <row r="367">
      <c r="A367" s="64"/>
      <c r="B367" s="47"/>
      <c r="C367" s="47"/>
      <c r="D367" s="47"/>
      <c r="E367" s="47"/>
      <c r="F367" s="67"/>
    </row>
    <row r="368">
      <c r="A368" s="64"/>
      <c r="B368" s="47"/>
      <c r="C368" s="47"/>
      <c r="D368" s="47"/>
      <c r="E368" s="47"/>
      <c r="F368" s="67"/>
    </row>
    <row r="369">
      <c r="A369" s="64"/>
      <c r="B369" s="47"/>
      <c r="C369" s="47"/>
      <c r="D369" s="47"/>
      <c r="E369" s="47"/>
      <c r="F369" s="67"/>
    </row>
    <row r="370">
      <c r="A370" s="64"/>
      <c r="B370" s="47"/>
      <c r="C370" s="47"/>
      <c r="D370" s="47"/>
      <c r="E370" s="47"/>
      <c r="F370" s="67"/>
    </row>
    <row r="371">
      <c r="A371" s="64"/>
      <c r="B371" s="47"/>
      <c r="C371" s="47"/>
      <c r="D371" s="47"/>
      <c r="E371" s="47"/>
      <c r="F371" s="67"/>
    </row>
    <row r="372">
      <c r="A372" s="64"/>
      <c r="B372" s="47"/>
      <c r="C372" s="47"/>
      <c r="D372" s="47"/>
      <c r="E372" s="47"/>
      <c r="F372" s="67"/>
    </row>
    <row r="373">
      <c r="A373" s="64"/>
      <c r="B373" s="47"/>
      <c r="C373" s="47"/>
      <c r="D373" s="47"/>
      <c r="E373" s="47"/>
      <c r="F373" s="67"/>
    </row>
    <row r="374">
      <c r="A374" s="64"/>
      <c r="B374" s="47"/>
      <c r="C374" s="47"/>
      <c r="D374" s="47"/>
      <c r="E374" s="47"/>
      <c r="F374" s="67"/>
    </row>
    <row r="375">
      <c r="A375" s="64"/>
      <c r="B375" s="47"/>
      <c r="C375" s="47"/>
      <c r="D375" s="47"/>
      <c r="E375" s="47"/>
      <c r="F375" s="67"/>
    </row>
    <row r="376">
      <c r="A376" s="64"/>
      <c r="B376" s="47"/>
      <c r="C376" s="47"/>
      <c r="D376" s="47"/>
      <c r="E376" s="47"/>
      <c r="F376" s="67"/>
    </row>
    <row r="377">
      <c r="A377" s="64"/>
      <c r="B377" s="47"/>
      <c r="C377" s="47"/>
      <c r="D377" s="47"/>
      <c r="E377" s="47"/>
      <c r="F377" s="67"/>
    </row>
    <row r="378">
      <c r="A378" s="64"/>
      <c r="B378" s="47"/>
      <c r="C378" s="47"/>
      <c r="D378" s="47"/>
      <c r="E378" s="47"/>
      <c r="F378" s="67"/>
    </row>
    <row r="379">
      <c r="A379" s="64"/>
      <c r="B379" s="47"/>
      <c r="C379" s="47"/>
      <c r="D379" s="47"/>
      <c r="E379" s="47"/>
      <c r="F379" s="67"/>
    </row>
    <row r="380">
      <c r="A380" s="64"/>
      <c r="B380" s="47"/>
      <c r="C380" s="47"/>
      <c r="D380" s="47"/>
      <c r="E380" s="47"/>
      <c r="F380" s="67"/>
    </row>
    <row r="381">
      <c r="A381" s="64"/>
      <c r="B381" s="47"/>
      <c r="C381" s="47"/>
      <c r="D381" s="47"/>
      <c r="E381" s="47"/>
      <c r="F381" s="67"/>
    </row>
    <row r="382">
      <c r="A382" s="64"/>
      <c r="B382" s="47"/>
      <c r="C382" s="47"/>
      <c r="D382" s="47"/>
      <c r="E382" s="47"/>
      <c r="F382" s="67"/>
    </row>
    <row r="383">
      <c r="A383" s="64"/>
      <c r="B383" s="47"/>
      <c r="C383" s="47"/>
      <c r="D383" s="47"/>
      <c r="E383" s="47"/>
      <c r="F383" s="67"/>
    </row>
    <row r="384">
      <c r="A384" s="64"/>
      <c r="B384" s="47"/>
      <c r="C384" s="47"/>
      <c r="D384" s="47"/>
      <c r="E384" s="47"/>
      <c r="F384" s="67"/>
    </row>
    <row r="385">
      <c r="A385" s="64"/>
      <c r="B385" s="47"/>
      <c r="C385" s="47"/>
      <c r="D385" s="47"/>
      <c r="E385" s="47"/>
      <c r="F385" s="67"/>
    </row>
    <row r="386">
      <c r="A386" s="64"/>
      <c r="B386" s="47"/>
      <c r="C386" s="47"/>
      <c r="D386" s="47"/>
      <c r="E386" s="47"/>
      <c r="F386" s="67"/>
    </row>
    <row r="387">
      <c r="A387" s="64"/>
      <c r="B387" s="47"/>
      <c r="C387" s="47"/>
      <c r="D387" s="47"/>
      <c r="E387" s="47"/>
      <c r="F387" s="67"/>
    </row>
    <row r="388">
      <c r="A388" s="64"/>
      <c r="B388" s="47"/>
      <c r="C388" s="47"/>
      <c r="D388" s="47"/>
      <c r="E388" s="47"/>
      <c r="F388" s="67"/>
    </row>
    <row r="389">
      <c r="A389" s="64"/>
      <c r="B389" s="47"/>
      <c r="C389" s="47"/>
      <c r="D389" s="47"/>
      <c r="E389" s="47"/>
      <c r="F389" s="67"/>
    </row>
    <row r="390">
      <c r="A390" s="64"/>
      <c r="B390" s="47"/>
      <c r="C390" s="47"/>
      <c r="D390" s="47"/>
      <c r="E390" s="47"/>
      <c r="F390" s="67"/>
    </row>
    <row r="391">
      <c r="A391" s="64"/>
      <c r="B391" s="47"/>
      <c r="C391" s="47"/>
      <c r="D391" s="47"/>
      <c r="E391" s="47"/>
      <c r="F391" s="67"/>
    </row>
    <row r="392">
      <c r="A392" s="64"/>
      <c r="B392" s="47"/>
      <c r="C392" s="47"/>
      <c r="D392" s="47"/>
      <c r="E392" s="47"/>
      <c r="F392" s="67"/>
    </row>
    <row r="393">
      <c r="A393" s="64"/>
      <c r="B393" s="47"/>
      <c r="C393" s="47"/>
      <c r="D393" s="47"/>
      <c r="E393" s="47"/>
      <c r="F393" s="67"/>
    </row>
    <row r="394">
      <c r="A394" s="64"/>
      <c r="B394" s="47"/>
      <c r="C394" s="47"/>
      <c r="D394" s="47"/>
      <c r="E394" s="47"/>
      <c r="F394" s="67"/>
    </row>
    <row r="395">
      <c r="A395" s="64"/>
      <c r="B395" s="47"/>
      <c r="C395" s="47"/>
      <c r="D395" s="47"/>
      <c r="E395" s="47"/>
      <c r="F395" s="67"/>
    </row>
    <row r="396">
      <c r="A396" s="64"/>
      <c r="B396" s="47"/>
      <c r="C396" s="47"/>
      <c r="D396" s="47"/>
      <c r="E396" s="47"/>
      <c r="F396" s="67"/>
    </row>
    <row r="397">
      <c r="A397" s="64"/>
      <c r="B397" s="47"/>
      <c r="C397" s="47"/>
      <c r="D397" s="47"/>
      <c r="E397" s="47"/>
      <c r="F397" s="67"/>
    </row>
    <row r="398">
      <c r="A398" s="64"/>
      <c r="B398" s="47"/>
      <c r="C398" s="47"/>
      <c r="D398" s="47"/>
      <c r="E398" s="47"/>
      <c r="F398" s="67"/>
    </row>
    <row r="399">
      <c r="A399" s="64"/>
      <c r="B399" s="47"/>
      <c r="C399" s="47"/>
      <c r="D399" s="47"/>
      <c r="E399" s="47"/>
      <c r="F399" s="67"/>
    </row>
    <row r="400">
      <c r="A400" s="64"/>
      <c r="B400" s="47"/>
      <c r="C400" s="47"/>
      <c r="D400" s="47"/>
      <c r="E400" s="47"/>
      <c r="F400" s="67"/>
    </row>
    <row r="401">
      <c r="A401" s="64"/>
      <c r="B401" s="47"/>
      <c r="C401" s="47"/>
      <c r="D401" s="47"/>
      <c r="E401" s="47"/>
      <c r="F401" s="67"/>
    </row>
    <row r="402">
      <c r="A402" s="64"/>
      <c r="B402" s="47"/>
      <c r="C402" s="47"/>
      <c r="D402" s="47"/>
      <c r="E402" s="47"/>
      <c r="F402" s="67"/>
    </row>
    <row r="403">
      <c r="A403" s="64"/>
      <c r="B403" s="47"/>
      <c r="C403" s="47"/>
      <c r="D403" s="47"/>
      <c r="E403" s="47"/>
      <c r="F403" s="67"/>
    </row>
    <row r="404">
      <c r="A404" s="64"/>
      <c r="B404" s="47"/>
      <c r="C404" s="47"/>
      <c r="D404" s="47"/>
      <c r="E404" s="47"/>
      <c r="F404" s="67"/>
    </row>
    <row r="405">
      <c r="A405" s="64"/>
      <c r="B405" s="47"/>
      <c r="C405" s="47"/>
      <c r="D405" s="47"/>
      <c r="E405" s="47"/>
      <c r="F405" s="67"/>
    </row>
    <row r="406">
      <c r="A406" s="64"/>
      <c r="B406" s="47"/>
      <c r="C406" s="47"/>
      <c r="D406" s="47"/>
      <c r="E406" s="47"/>
      <c r="F406" s="67"/>
    </row>
    <row r="407">
      <c r="A407" s="64"/>
      <c r="B407" s="47"/>
      <c r="C407" s="47"/>
      <c r="D407" s="47"/>
      <c r="E407" s="47"/>
      <c r="F407" s="67"/>
    </row>
    <row r="408">
      <c r="A408" s="64"/>
      <c r="B408" s="47"/>
      <c r="C408" s="47"/>
      <c r="D408" s="47"/>
      <c r="E408" s="47"/>
      <c r="F408" s="67"/>
    </row>
    <row r="409">
      <c r="A409" s="64"/>
      <c r="B409" s="47"/>
      <c r="C409" s="47"/>
      <c r="D409" s="47"/>
      <c r="E409" s="47"/>
      <c r="F409" s="67"/>
    </row>
    <row r="410">
      <c r="A410" s="64"/>
      <c r="B410" s="47"/>
      <c r="C410" s="47"/>
      <c r="D410" s="47"/>
      <c r="E410" s="47"/>
      <c r="F410" s="67"/>
    </row>
    <row r="411">
      <c r="A411" s="64"/>
      <c r="B411" s="47"/>
      <c r="C411" s="47"/>
      <c r="D411" s="47"/>
      <c r="E411" s="47"/>
      <c r="F411" s="67"/>
    </row>
    <row r="412">
      <c r="A412" s="64"/>
      <c r="B412" s="47"/>
      <c r="C412" s="47"/>
      <c r="D412" s="47"/>
      <c r="E412" s="47"/>
      <c r="F412" s="67"/>
    </row>
    <row r="413">
      <c r="A413" s="64"/>
      <c r="B413" s="47"/>
      <c r="C413" s="47"/>
      <c r="D413" s="47"/>
      <c r="E413" s="47"/>
      <c r="F413" s="67"/>
    </row>
    <row r="414">
      <c r="A414" s="64"/>
      <c r="B414" s="47"/>
      <c r="C414" s="47"/>
      <c r="D414" s="47"/>
      <c r="E414" s="47"/>
      <c r="F414" s="67"/>
    </row>
    <row r="415">
      <c r="A415" s="64"/>
      <c r="B415" s="47"/>
      <c r="C415" s="47"/>
      <c r="D415" s="47"/>
      <c r="E415" s="47"/>
      <c r="F415" s="67"/>
    </row>
    <row r="416">
      <c r="A416" s="64"/>
      <c r="B416" s="47"/>
      <c r="C416" s="47"/>
      <c r="D416" s="47"/>
      <c r="E416" s="47"/>
      <c r="F416" s="67"/>
    </row>
    <row r="417">
      <c r="A417" s="64"/>
      <c r="B417" s="47"/>
      <c r="C417" s="47"/>
      <c r="D417" s="47"/>
      <c r="E417" s="47"/>
      <c r="F417" s="67"/>
    </row>
    <row r="418">
      <c r="A418" s="64"/>
      <c r="B418" s="47"/>
      <c r="C418" s="47"/>
      <c r="D418" s="47"/>
      <c r="E418" s="47"/>
      <c r="F418" s="67"/>
    </row>
    <row r="419">
      <c r="A419" s="64"/>
      <c r="B419" s="47"/>
      <c r="C419" s="47"/>
      <c r="D419" s="47"/>
      <c r="E419" s="47"/>
      <c r="F419" s="67"/>
    </row>
    <row r="420">
      <c r="A420" s="64"/>
      <c r="B420" s="47"/>
      <c r="C420" s="47"/>
      <c r="D420" s="47"/>
      <c r="E420" s="47"/>
      <c r="F420" s="67"/>
    </row>
    <row r="421">
      <c r="A421" s="64"/>
      <c r="B421" s="47"/>
      <c r="C421" s="47"/>
      <c r="D421" s="47"/>
      <c r="E421" s="47"/>
      <c r="F421" s="67"/>
    </row>
    <row r="422">
      <c r="A422" s="64"/>
      <c r="B422" s="47"/>
      <c r="C422" s="47"/>
      <c r="D422" s="47"/>
      <c r="E422" s="47"/>
      <c r="F422" s="67"/>
    </row>
    <row r="423">
      <c r="A423" s="64"/>
      <c r="B423" s="47"/>
      <c r="C423" s="47"/>
      <c r="D423" s="47"/>
      <c r="E423" s="47"/>
      <c r="F423" s="67"/>
    </row>
    <row r="424">
      <c r="A424" s="64"/>
      <c r="B424" s="47"/>
      <c r="C424" s="47"/>
      <c r="D424" s="47"/>
      <c r="E424" s="47"/>
      <c r="F424" s="67"/>
    </row>
    <row r="425">
      <c r="A425" s="64"/>
      <c r="B425" s="47"/>
      <c r="C425" s="47"/>
      <c r="D425" s="47"/>
      <c r="E425" s="47"/>
      <c r="F425" s="67"/>
    </row>
    <row r="426">
      <c r="A426" s="64"/>
      <c r="B426" s="47"/>
      <c r="C426" s="47"/>
      <c r="D426" s="47"/>
      <c r="E426" s="47"/>
      <c r="F426" s="67"/>
    </row>
    <row r="427">
      <c r="A427" s="64"/>
      <c r="B427" s="47"/>
      <c r="C427" s="47"/>
      <c r="D427" s="47"/>
      <c r="E427" s="47"/>
      <c r="F427" s="67"/>
    </row>
    <row r="428">
      <c r="A428" s="64"/>
      <c r="B428" s="47"/>
      <c r="C428" s="47"/>
      <c r="D428" s="47"/>
      <c r="E428" s="47"/>
      <c r="F428" s="67"/>
    </row>
    <row r="429">
      <c r="A429" s="64"/>
      <c r="B429" s="47"/>
      <c r="C429" s="47"/>
      <c r="D429" s="47"/>
      <c r="E429" s="47"/>
      <c r="F429" s="67"/>
    </row>
    <row r="430">
      <c r="A430" s="64"/>
      <c r="B430" s="47"/>
      <c r="C430" s="47"/>
      <c r="D430" s="47"/>
      <c r="E430" s="47"/>
      <c r="F430" s="67"/>
    </row>
    <row r="431">
      <c r="A431" s="64"/>
      <c r="B431" s="47"/>
      <c r="C431" s="47"/>
      <c r="D431" s="47"/>
      <c r="E431" s="47"/>
      <c r="F431" s="67"/>
    </row>
    <row r="432">
      <c r="A432" s="64"/>
      <c r="B432" s="47"/>
      <c r="C432" s="47"/>
      <c r="D432" s="47"/>
      <c r="E432" s="47"/>
      <c r="F432" s="67"/>
    </row>
    <row r="433">
      <c r="A433" s="64"/>
      <c r="B433" s="47"/>
      <c r="C433" s="47"/>
      <c r="D433" s="47"/>
      <c r="E433" s="47"/>
      <c r="F433" s="67"/>
    </row>
    <row r="434">
      <c r="A434" s="64"/>
      <c r="B434" s="47"/>
      <c r="C434" s="47"/>
      <c r="D434" s="47"/>
      <c r="E434" s="47"/>
      <c r="F434" s="67"/>
    </row>
    <row r="435">
      <c r="A435" s="64"/>
      <c r="B435" s="47"/>
      <c r="C435" s="47"/>
      <c r="D435" s="47"/>
      <c r="E435" s="47"/>
      <c r="F435" s="67"/>
    </row>
    <row r="436">
      <c r="A436" s="64"/>
      <c r="B436" s="47"/>
      <c r="C436" s="47"/>
      <c r="D436" s="47"/>
      <c r="E436" s="47"/>
      <c r="F436" s="67"/>
    </row>
    <row r="437">
      <c r="A437" s="64"/>
      <c r="B437" s="47"/>
      <c r="C437" s="47"/>
      <c r="D437" s="47"/>
      <c r="E437" s="47"/>
      <c r="F437" s="67"/>
    </row>
    <row r="438">
      <c r="A438" s="64"/>
      <c r="B438" s="47"/>
      <c r="C438" s="47"/>
      <c r="D438" s="47"/>
      <c r="E438" s="47"/>
      <c r="F438" s="67"/>
    </row>
    <row r="439">
      <c r="A439" s="64"/>
      <c r="B439" s="47"/>
      <c r="C439" s="47"/>
      <c r="D439" s="47"/>
      <c r="E439" s="47"/>
      <c r="F439" s="67"/>
    </row>
    <row r="440">
      <c r="A440" s="69"/>
    </row>
    <row r="441">
      <c r="A441" s="69"/>
    </row>
    <row r="442">
      <c r="A442" s="69"/>
    </row>
    <row r="443">
      <c r="A443" s="69"/>
    </row>
    <row r="444">
      <c r="A444" s="69"/>
    </row>
    <row r="445">
      <c r="A445" s="69"/>
    </row>
    <row r="446">
      <c r="A446" s="69"/>
    </row>
    <row r="447">
      <c r="A447" s="69"/>
    </row>
    <row r="448">
      <c r="A448" s="69"/>
    </row>
    <row r="449">
      <c r="A449" s="69"/>
    </row>
    <row r="450">
      <c r="A450" s="69"/>
    </row>
    <row r="451">
      <c r="A451" s="69"/>
    </row>
    <row r="452">
      <c r="A452" s="69"/>
    </row>
    <row r="453">
      <c r="A453" s="69"/>
    </row>
    <row r="454">
      <c r="A454" s="69"/>
    </row>
    <row r="455">
      <c r="A455" s="69"/>
    </row>
    <row r="456">
      <c r="A456" s="69"/>
    </row>
    <row r="457">
      <c r="A457" s="69"/>
    </row>
    <row r="458">
      <c r="A458" s="69"/>
    </row>
    <row r="459">
      <c r="A459" s="69"/>
    </row>
    <row r="460">
      <c r="A460" s="69"/>
    </row>
    <row r="461">
      <c r="A461" s="69"/>
    </row>
    <row r="462">
      <c r="A462" s="69"/>
    </row>
    <row r="463">
      <c r="A463" s="69"/>
    </row>
    <row r="464">
      <c r="A464" s="69"/>
    </row>
    <row r="465">
      <c r="A465" s="69"/>
    </row>
    <row r="466">
      <c r="A466" s="69"/>
    </row>
    <row r="467">
      <c r="A467" s="69"/>
    </row>
    <row r="468">
      <c r="A468" s="69"/>
    </row>
    <row r="469">
      <c r="A469" s="69"/>
    </row>
    <row r="470">
      <c r="A470" s="69"/>
    </row>
    <row r="471">
      <c r="A471" s="69"/>
    </row>
    <row r="472">
      <c r="A472" s="69"/>
    </row>
    <row r="473">
      <c r="A473" s="69"/>
    </row>
    <row r="474">
      <c r="A474" s="69"/>
    </row>
    <row r="475">
      <c r="A475" s="69"/>
    </row>
    <row r="476">
      <c r="A476" s="69"/>
    </row>
    <row r="477">
      <c r="A477" s="69"/>
    </row>
    <row r="478">
      <c r="A478" s="69"/>
    </row>
    <row r="479">
      <c r="A479" s="69"/>
    </row>
    <row r="480">
      <c r="A480" s="69"/>
    </row>
    <row r="481">
      <c r="A481" s="69"/>
    </row>
    <row r="482">
      <c r="A482" s="69"/>
    </row>
    <row r="483">
      <c r="A483" s="69"/>
    </row>
    <row r="484">
      <c r="A484" s="69"/>
    </row>
    <row r="485">
      <c r="A485" s="69"/>
    </row>
    <row r="486">
      <c r="A486" s="69"/>
    </row>
    <row r="487">
      <c r="A487" s="69"/>
    </row>
    <row r="488">
      <c r="A488" s="69"/>
    </row>
    <row r="489">
      <c r="A489" s="69"/>
    </row>
    <row r="490">
      <c r="A490" s="69"/>
    </row>
    <row r="491">
      <c r="A491" s="69"/>
    </row>
    <row r="492">
      <c r="A492" s="69"/>
    </row>
    <row r="493">
      <c r="A493" s="69"/>
    </row>
    <row r="494">
      <c r="A494" s="69"/>
    </row>
    <row r="495">
      <c r="A495" s="69"/>
    </row>
    <row r="496">
      <c r="A496" s="69"/>
    </row>
    <row r="497">
      <c r="A497" s="69"/>
    </row>
    <row r="498">
      <c r="A498" s="69"/>
    </row>
    <row r="499">
      <c r="A499" s="69"/>
    </row>
    <row r="500">
      <c r="A500" s="69"/>
    </row>
    <row r="501">
      <c r="A501" s="69"/>
    </row>
    <row r="502">
      <c r="A502" s="69"/>
    </row>
    <row r="503">
      <c r="A503" s="69"/>
    </row>
    <row r="504">
      <c r="A504" s="69"/>
    </row>
    <row r="505">
      <c r="A505" s="69"/>
    </row>
    <row r="506">
      <c r="A506" s="69"/>
    </row>
    <row r="507">
      <c r="A507" s="69"/>
    </row>
    <row r="508">
      <c r="A508" s="69"/>
    </row>
    <row r="509">
      <c r="A509" s="69"/>
    </row>
    <row r="510">
      <c r="A510" s="69"/>
    </row>
    <row r="511">
      <c r="A511" s="69"/>
    </row>
    <row r="512">
      <c r="A512" s="69"/>
    </row>
    <row r="513">
      <c r="A513" s="69"/>
    </row>
    <row r="514">
      <c r="A514" s="69"/>
    </row>
    <row r="515">
      <c r="A515" s="69"/>
    </row>
    <row r="516">
      <c r="A516" s="69"/>
    </row>
    <row r="517">
      <c r="A517" s="69"/>
    </row>
    <row r="518">
      <c r="A518" s="69"/>
    </row>
    <row r="519">
      <c r="A519" s="69"/>
    </row>
    <row r="520">
      <c r="A520" s="69"/>
    </row>
    <row r="521">
      <c r="A521" s="69"/>
    </row>
    <row r="522">
      <c r="A522" s="69"/>
    </row>
    <row r="523">
      <c r="A523" s="69"/>
    </row>
    <row r="524">
      <c r="A524" s="69"/>
    </row>
    <row r="525">
      <c r="A525" s="69"/>
    </row>
    <row r="526">
      <c r="A526" s="69"/>
    </row>
    <row r="527">
      <c r="A527" s="69"/>
    </row>
    <row r="528">
      <c r="A528" s="69"/>
    </row>
    <row r="529">
      <c r="A529" s="69"/>
    </row>
    <row r="530">
      <c r="A530" s="69"/>
    </row>
    <row r="531">
      <c r="A531" s="69"/>
    </row>
    <row r="532">
      <c r="A532" s="69"/>
    </row>
    <row r="533">
      <c r="A533" s="69"/>
    </row>
    <row r="534">
      <c r="A534" s="69"/>
    </row>
    <row r="535">
      <c r="A535" s="69"/>
    </row>
    <row r="536">
      <c r="A536" s="69"/>
    </row>
    <row r="537">
      <c r="A537" s="69"/>
    </row>
    <row r="538">
      <c r="A538" s="69"/>
    </row>
    <row r="539">
      <c r="A539" s="69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75"/>
    <col customWidth="1" min="2" max="2" width="13.38"/>
    <col customWidth="1" min="3" max="3" width="81.5"/>
    <col customWidth="1" min="4" max="4" width="12.63"/>
    <col customWidth="1" min="5" max="6" width="12.75"/>
  </cols>
  <sheetData>
    <row r="1" ht="15.75" customHeight="1">
      <c r="A1" s="3" t="s">
        <v>1</v>
      </c>
      <c r="B1" s="3" t="s">
        <v>2</v>
      </c>
      <c r="C1" s="3" t="s">
        <v>3</v>
      </c>
      <c r="D1" s="3" t="s">
        <v>5</v>
      </c>
      <c r="E1" s="3" t="s">
        <v>6</v>
      </c>
      <c r="F1" s="3" t="s">
        <v>7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5.75" customHeight="1">
      <c r="A2" s="10">
        <v>1.0</v>
      </c>
      <c r="B2" s="12">
        <v>45804.0</v>
      </c>
      <c r="C2" s="10" t="s">
        <v>8</v>
      </c>
      <c r="D2" s="10" t="s">
        <v>9</v>
      </c>
      <c r="E2" s="17">
        <v>45958.0</v>
      </c>
      <c r="F2" s="19">
        <v>30000.0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75" customHeight="1">
      <c r="A3" s="10">
        <v>2.0</v>
      </c>
      <c r="B3" s="12">
        <v>45806.0</v>
      </c>
      <c r="C3" s="10" t="s">
        <v>14</v>
      </c>
      <c r="D3" s="10" t="s">
        <v>16</v>
      </c>
      <c r="E3" s="12">
        <v>45806.0</v>
      </c>
      <c r="F3" s="19">
        <v>31000.0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75" customHeight="1">
      <c r="A4" s="10">
        <v>3.0</v>
      </c>
      <c r="B4" s="12">
        <v>45806.0</v>
      </c>
      <c r="C4" s="10" t="s">
        <v>22</v>
      </c>
      <c r="D4" s="10" t="s">
        <v>9</v>
      </c>
      <c r="E4" s="17">
        <v>45958.0</v>
      </c>
      <c r="F4" s="19">
        <v>220.0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75" customHeight="1">
      <c r="A5" s="10">
        <v>4.0</v>
      </c>
      <c r="B5" s="12">
        <v>45807.0</v>
      </c>
      <c r="C5" s="10" t="s">
        <v>26</v>
      </c>
      <c r="D5" s="10" t="s">
        <v>27</v>
      </c>
      <c r="E5" s="12">
        <v>45807.0</v>
      </c>
      <c r="F5" s="19">
        <v>200.0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75" customHeight="1">
      <c r="A6" s="10">
        <v>5.0</v>
      </c>
      <c r="B6" s="12">
        <v>45807.0</v>
      </c>
      <c r="C6" s="10" t="s">
        <v>29</v>
      </c>
      <c r="D6" s="10" t="s">
        <v>27</v>
      </c>
      <c r="E6" s="12">
        <v>45807.0</v>
      </c>
      <c r="F6" s="19">
        <v>3200.0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75" customHeight="1">
      <c r="A7" s="10">
        <v>6.0</v>
      </c>
      <c r="B7" s="12">
        <v>45807.0</v>
      </c>
      <c r="C7" s="10" t="s">
        <v>32</v>
      </c>
      <c r="D7" s="10" t="s">
        <v>27</v>
      </c>
      <c r="E7" s="12">
        <v>45807.0</v>
      </c>
      <c r="F7" s="19">
        <v>1000.0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75" customHeight="1">
      <c r="A8" s="10">
        <v>7.0</v>
      </c>
      <c r="B8" s="12">
        <v>45807.0</v>
      </c>
      <c r="C8" s="10" t="s">
        <v>38</v>
      </c>
      <c r="D8" s="10" t="s">
        <v>9</v>
      </c>
      <c r="E8" s="17">
        <v>45958.0</v>
      </c>
      <c r="F8" s="19">
        <v>1000.0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75" customHeight="1">
      <c r="A9" s="10">
        <v>8.0</v>
      </c>
      <c r="B9" s="12">
        <v>45807.0</v>
      </c>
      <c r="C9" s="10" t="s">
        <v>41</v>
      </c>
      <c r="D9" s="10" t="s">
        <v>27</v>
      </c>
      <c r="E9" s="12">
        <v>45807.0</v>
      </c>
      <c r="F9" s="19">
        <v>500.0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75" customHeight="1">
      <c r="A10" s="10">
        <v>9.0</v>
      </c>
      <c r="B10" s="12">
        <v>45807.0</v>
      </c>
      <c r="C10" s="10" t="s">
        <v>44</v>
      </c>
      <c r="D10" s="10" t="s">
        <v>27</v>
      </c>
      <c r="E10" s="12">
        <v>45807.0</v>
      </c>
      <c r="F10" s="19">
        <v>1200.0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75" customHeight="1">
      <c r="A11" s="10">
        <v>10.0</v>
      </c>
      <c r="B11" s="12">
        <v>45807.0</v>
      </c>
      <c r="C11" s="10" t="s">
        <v>50</v>
      </c>
      <c r="D11" s="10" t="s">
        <v>16</v>
      </c>
      <c r="E11" s="12">
        <v>45807.0</v>
      </c>
      <c r="F11" s="19">
        <v>7000.0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5.75" customHeight="1">
      <c r="A12" s="10">
        <v>11.0</v>
      </c>
      <c r="B12" s="12">
        <v>45807.0</v>
      </c>
      <c r="C12" s="10" t="s">
        <v>53</v>
      </c>
      <c r="D12" s="10" t="s">
        <v>27</v>
      </c>
      <c r="E12" s="12">
        <v>45807.0</v>
      </c>
      <c r="F12" s="19">
        <v>310.0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75" customHeight="1">
      <c r="A13" s="10">
        <v>12.0</v>
      </c>
      <c r="B13" s="12">
        <v>45808.0</v>
      </c>
      <c r="C13" s="10" t="s">
        <v>55</v>
      </c>
      <c r="D13" s="10" t="s">
        <v>9</v>
      </c>
      <c r="E13" s="17">
        <v>45958.0</v>
      </c>
      <c r="F13" s="19">
        <v>7000.0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.75" customHeight="1">
      <c r="A14" s="10">
        <v>12.0</v>
      </c>
      <c r="B14" s="12">
        <v>45808.0</v>
      </c>
      <c r="C14" s="10" t="s">
        <v>58</v>
      </c>
      <c r="D14" s="10" t="s">
        <v>9</v>
      </c>
      <c r="E14" s="17">
        <v>45958.0</v>
      </c>
      <c r="F14" s="19">
        <v>14000.0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75" customHeight="1">
      <c r="A15" s="10">
        <v>12.0</v>
      </c>
      <c r="B15" s="12">
        <v>45808.0</v>
      </c>
      <c r="C15" s="10" t="s">
        <v>59</v>
      </c>
      <c r="D15" s="10" t="s">
        <v>9</v>
      </c>
      <c r="E15" s="17">
        <v>45958.0</v>
      </c>
      <c r="F15" s="19">
        <v>30000.0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75" customHeight="1">
      <c r="A16" s="10">
        <v>13.0</v>
      </c>
      <c r="B16" s="12">
        <v>45810.0</v>
      </c>
      <c r="C16" s="10" t="s">
        <v>60</v>
      </c>
      <c r="D16" s="10" t="s">
        <v>43</v>
      </c>
      <c r="E16" s="12">
        <v>45810.0</v>
      </c>
      <c r="F16" s="19">
        <v>140.0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75" customHeight="1">
      <c r="A17" s="10">
        <v>14.0</v>
      </c>
      <c r="B17" s="12">
        <v>45814.0</v>
      </c>
      <c r="C17" s="10" t="s">
        <v>59</v>
      </c>
      <c r="D17" s="10" t="s">
        <v>9</v>
      </c>
      <c r="E17" s="17">
        <v>45958.0</v>
      </c>
      <c r="F17" s="19">
        <v>50000.0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75" customHeight="1">
      <c r="A18" s="10">
        <v>14.0</v>
      </c>
      <c r="B18" s="12">
        <v>45814.0</v>
      </c>
      <c r="C18" s="10" t="s">
        <v>63</v>
      </c>
      <c r="D18" s="10" t="s">
        <v>9</v>
      </c>
      <c r="E18" s="17">
        <v>45958.0</v>
      </c>
      <c r="F18" s="19">
        <v>3850.0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75" customHeight="1">
      <c r="A19" s="10">
        <v>15.0</v>
      </c>
      <c r="B19" s="12">
        <v>45816.0</v>
      </c>
      <c r="C19" s="10" t="s">
        <v>64</v>
      </c>
      <c r="D19" s="10" t="s">
        <v>43</v>
      </c>
      <c r="E19" s="12">
        <v>45816.0</v>
      </c>
      <c r="F19" s="19">
        <v>290.0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75" customHeight="1">
      <c r="A20" s="10">
        <v>16.0</v>
      </c>
      <c r="B20" s="12">
        <v>45816.0</v>
      </c>
      <c r="C20" s="10" t="s">
        <v>65</v>
      </c>
      <c r="D20" s="10" t="s">
        <v>43</v>
      </c>
      <c r="E20" s="12">
        <v>45816.0</v>
      </c>
      <c r="F20" s="19">
        <v>350.0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10">
        <v>17.0</v>
      </c>
      <c r="B21" s="12">
        <v>45817.0</v>
      </c>
      <c r="C21" s="10" t="s">
        <v>68</v>
      </c>
      <c r="D21" s="10" t="s">
        <v>9</v>
      </c>
      <c r="E21" s="17">
        <v>45958.0</v>
      </c>
      <c r="F21" s="19">
        <v>29200.0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10">
        <v>18.0</v>
      </c>
      <c r="B22" s="12">
        <v>45818.0</v>
      </c>
      <c r="C22" s="10" t="s">
        <v>69</v>
      </c>
      <c r="D22" s="10" t="s">
        <v>43</v>
      </c>
      <c r="E22" s="12">
        <v>45818.0</v>
      </c>
      <c r="F22" s="19">
        <v>310.0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10">
        <v>19.0</v>
      </c>
      <c r="B23" s="12">
        <v>45822.0</v>
      </c>
      <c r="C23" s="10" t="s">
        <v>68</v>
      </c>
      <c r="D23" s="10" t="s">
        <v>9</v>
      </c>
      <c r="E23" s="17">
        <v>45958.0</v>
      </c>
      <c r="F23" s="19">
        <v>8200.0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10">
        <v>20.0</v>
      </c>
      <c r="B24" s="12">
        <v>45826.0</v>
      </c>
      <c r="C24" s="10" t="s">
        <v>68</v>
      </c>
      <c r="D24" s="10" t="s">
        <v>9</v>
      </c>
      <c r="E24" s="17">
        <v>45958.0</v>
      </c>
      <c r="F24" s="19">
        <v>41401.0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26">
        <v>21.0</v>
      </c>
      <c r="B25" s="17">
        <v>45826.0</v>
      </c>
      <c r="C25" s="26" t="s">
        <v>72</v>
      </c>
      <c r="D25" s="10" t="s">
        <v>9</v>
      </c>
      <c r="E25" s="17">
        <v>45958.0</v>
      </c>
      <c r="F25" s="19">
        <v>9000.0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10">
        <v>22.0</v>
      </c>
      <c r="B26" s="12">
        <v>45826.0</v>
      </c>
      <c r="C26" s="10" t="s">
        <v>72</v>
      </c>
      <c r="D26" s="10" t="s">
        <v>9</v>
      </c>
      <c r="E26" s="17">
        <v>45958.0</v>
      </c>
      <c r="F26" s="19">
        <v>1500.0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10">
        <v>23.0</v>
      </c>
      <c r="B27" s="12">
        <v>45830.0</v>
      </c>
      <c r="C27" s="10" t="s">
        <v>63</v>
      </c>
      <c r="D27" s="10" t="s">
        <v>9</v>
      </c>
      <c r="E27" s="17">
        <v>45958.0</v>
      </c>
      <c r="F27" s="19">
        <v>3850.0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10">
        <v>24.0</v>
      </c>
      <c r="B28" s="12">
        <v>45830.0</v>
      </c>
      <c r="C28" s="10" t="s">
        <v>76</v>
      </c>
      <c r="D28" s="10" t="s">
        <v>9</v>
      </c>
      <c r="E28" s="17">
        <v>45958.0</v>
      </c>
      <c r="F28" s="19">
        <v>1750.0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10">
        <v>25.0</v>
      </c>
      <c r="B29" s="12">
        <v>45831.0</v>
      </c>
      <c r="C29" s="10" t="s">
        <v>79</v>
      </c>
      <c r="D29" s="48" t="s">
        <v>43</v>
      </c>
      <c r="E29" s="12">
        <v>45831.0</v>
      </c>
      <c r="F29" s="49">
        <v>360.0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10">
        <v>26.0</v>
      </c>
      <c r="B30" s="12">
        <v>45834.0</v>
      </c>
      <c r="C30" s="10" t="s">
        <v>80</v>
      </c>
      <c r="D30" s="10" t="s">
        <v>9</v>
      </c>
      <c r="E30" s="17">
        <v>45958.0</v>
      </c>
      <c r="F30" s="19">
        <v>150000.0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10">
        <v>27.0</v>
      </c>
      <c r="B31" s="12">
        <v>45847.0</v>
      </c>
      <c r="C31" s="10" t="s">
        <v>81</v>
      </c>
      <c r="D31" s="10" t="s">
        <v>43</v>
      </c>
      <c r="E31" s="12">
        <v>45847.0</v>
      </c>
      <c r="F31" s="19">
        <v>2005.0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10">
        <v>28.0</v>
      </c>
      <c r="B32" s="12">
        <v>45847.0</v>
      </c>
      <c r="C32" s="10" t="s">
        <v>84</v>
      </c>
      <c r="D32" s="48" t="s">
        <v>9</v>
      </c>
      <c r="E32" s="12">
        <v>45847.0</v>
      </c>
      <c r="F32" s="49">
        <v>880.0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10">
        <v>29.0</v>
      </c>
      <c r="B33" s="12">
        <v>45847.0</v>
      </c>
      <c r="C33" s="10" t="s">
        <v>85</v>
      </c>
      <c r="D33" s="48" t="s">
        <v>43</v>
      </c>
      <c r="E33" s="12">
        <v>45847.0</v>
      </c>
      <c r="F33" s="49">
        <v>440.0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10">
        <v>30.0</v>
      </c>
      <c r="B34" s="54">
        <v>45855.0</v>
      </c>
      <c r="C34" s="10" t="s">
        <v>86</v>
      </c>
      <c r="D34" s="48" t="s">
        <v>43</v>
      </c>
      <c r="E34" s="12">
        <v>45855.0</v>
      </c>
      <c r="F34" s="49">
        <v>1000.0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10">
        <v>31.0</v>
      </c>
      <c r="B35" s="12">
        <v>45836.0</v>
      </c>
      <c r="C35" s="10" t="s">
        <v>88</v>
      </c>
      <c r="D35" s="10" t="s">
        <v>9</v>
      </c>
      <c r="E35" s="12">
        <v>45836.0</v>
      </c>
      <c r="F35" s="19">
        <v>1500.0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10">
        <v>32.0</v>
      </c>
      <c r="B36" s="12">
        <v>45836.0</v>
      </c>
      <c r="C36" s="10" t="s">
        <v>93</v>
      </c>
      <c r="D36" s="10" t="s">
        <v>9</v>
      </c>
      <c r="E36" s="17">
        <v>45958.0</v>
      </c>
      <c r="F36" s="19">
        <v>6000.0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10">
        <v>33.0</v>
      </c>
      <c r="B37" s="12">
        <v>45845.0</v>
      </c>
      <c r="C37" s="10" t="s">
        <v>97</v>
      </c>
      <c r="D37" s="10" t="s">
        <v>9</v>
      </c>
      <c r="E37" s="12">
        <v>45845.0</v>
      </c>
      <c r="F37" s="19">
        <v>10000.0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26">
        <v>34.0</v>
      </c>
      <c r="B38" s="12">
        <v>45839.0</v>
      </c>
      <c r="C38" s="10" t="s">
        <v>98</v>
      </c>
      <c r="D38" s="10" t="s">
        <v>27</v>
      </c>
      <c r="E38" s="12">
        <v>45839.0</v>
      </c>
      <c r="F38" s="19">
        <v>700.0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26">
        <v>35.0</v>
      </c>
      <c r="B39" s="12">
        <v>45846.0</v>
      </c>
      <c r="C39" s="10" t="s">
        <v>99</v>
      </c>
      <c r="D39" s="10" t="s">
        <v>27</v>
      </c>
      <c r="E39" s="12">
        <v>45846.0</v>
      </c>
      <c r="F39" s="19">
        <v>700.0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26">
        <v>36.0</v>
      </c>
      <c r="B40" s="12">
        <v>45853.0</v>
      </c>
      <c r="C40" s="10" t="s">
        <v>102</v>
      </c>
      <c r="D40" s="10" t="s">
        <v>27</v>
      </c>
      <c r="E40" s="12">
        <v>45853.0</v>
      </c>
      <c r="F40" s="19">
        <v>700.0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26">
        <v>37.0</v>
      </c>
      <c r="B41" s="12">
        <v>45855.0</v>
      </c>
      <c r="C41" s="10" t="s">
        <v>103</v>
      </c>
      <c r="D41" s="10" t="s">
        <v>9</v>
      </c>
      <c r="E41" s="17">
        <v>45958.0</v>
      </c>
      <c r="F41" s="19">
        <v>2100.0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26">
        <v>38.0</v>
      </c>
      <c r="B42" s="12">
        <v>45852.0</v>
      </c>
      <c r="C42" s="10" t="s">
        <v>105</v>
      </c>
      <c r="D42" s="10" t="s">
        <v>43</v>
      </c>
      <c r="E42" s="12">
        <v>45852.0</v>
      </c>
      <c r="F42" s="19">
        <v>600.0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26">
        <v>39.0</v>
      </c>
      <c r="B43" s="12">
        <v>45849.0</v>
      </c>
      <c r="C43" s="26" t="s">
        <v>108</v>
      </c>
      <c r="D43" s="26" t="s">
        <v>43</v>
      </c>
      <c r="E43" s="12">
        <v>45849.0</v>
      </c>
      <c r="F43" s="27">
        <v>320.0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26">
        <v>40.0</v>
      </c>
      <c r="B44" s="17">
        <v>45854.0</v>
      </c>
      <c r="C44" s="26" t="s">
        <v>109</v>
      </c>
      <c r="D44" s="26" t="s">
        <v>9</v>
      </c>
      <c r="E44" s="12">
        <v>45854.0</v>
      </c>
      <c r="F44" s="27">
        <v>4465.0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26">
        <v>41.0</v>
      </c>
      <c r="B45" s="17">
        <v>45860.0</v>
      </c>
      <c r="C45" s="57" t="s">
        <v>102</v>
      </c>
      <c r="D45" s="42" t="s">
        <v>27</v>
      </c>
      <c r="E45" s="17">
        <v>45860.0</v>
      </c>
      <c r="F45" s="59">
        <v>700.0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26">
        <v>42.0</v>
      </c>
      <c r="B46" s="17">
        <v>45860.0</v>
      </c>
      <c r="C46" s="42" t="s">
        <v>112</v>
      </c>
      <c r="D46" s="42"/>
      <c r="E46" s="12"/>
      <c r="F46" s="59">
        <v>1000.0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26">
        <v>43.0</v>
      </c>
      <c r="B47" s="17">
        <v>45860.0</v>
      </c>
      <c r="C47" s="42" t="s">
        <v>113</v>
      </c>
      <c r="D47" s="42" t="s">
        <v>9</v>
      </c>
      <c r="E47" s="12">
        <v>45860.0</v>
      </c>
      <c r="F47" s="59">
        <v>450.0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2.0" customHeight="1">
      <c r="A48" s="26">
        <v>44.0</v>
      </c>
      <c r="B48" s="17">
        <v>45860.0</v>
      </c>
      <c r="C48" s="42" t="s">
        <v>115</v>
      </c>
      <c r="D48" s="42" t="s">
        <v>9</v>
      </c>
      <c r="E48" s="12">
        <v>45860.0</v>
      </c>
      <c r="F48" s="59">
        <v>560.0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26">
        <v>45.0</v>
      </c>
      <c r="B49" s="17">
        <v>45860.0</v>
      </c>
      <c r="C49" s="42" t="s">
        <v>119</v>
      </c>
      <c r="D49" s="61"/>
      <c r="E49" s="12"/>
      <c r="F49" s="62">
        <v>3400.0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26">
        <v>46.0</v>
      </c>
      <c r="B50" s="17">
        <v>45861.0</v>
      </c>
      <c r="C50" s="42" t="s">
        <v>122</v>
      </c>
      <c r="D50" s="61"/>
      <c r="E50" s="12"/>
      <c r="F50" s="62">
        <v>500.0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26">
        <v>47.0</v>
      </c>
      <c r="B51" s="17">
        <v>45861.0</v>
      </c>
      <c r="C51" s="42" t="s">
        <v>123</v>
      </c>
      <c r="D51" s="61"/>
      <c r="E51" s="12"/>
      <c r="F51" s="62">
        <v>240.0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26">
        <v>48.0</v>
      </c>
      <c r="B52" s="54">
        <v>45860.0</v>
      </c>
      <c r="C52" s="42" t="s">
        <v>126</v>
      </c>
      <c r="D52" s="61" t="s">
        <v>27</v>
      </c>
      <c r="E52" s="12">
        <v>45860.0</v>
      </c>
      <c r="F52" s="62">
        <v>1000.0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26">
        <v>49.0</v>
      </c>
      <c r="B53" s="54">
        <v>45860.0</v>
      </c>
      <c r="C53" s="42" t="s">
        <v>130</v>
      </c>
      <c r="D53" s="61" t="s">
        <v>27</v>
      </c>
      <c r="E53" s="12">
        <v>45860.0</v>
      </c>
      <c r="F53" s="62">
        <v>1740.0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26">
        <v>50.0</v>
      </c>
      <c r="B54" s="54">
        <v>45860.0</v>
      </c>
      <c r="C54" s="42" t="s">
        <v>134</v>
      </c>
      <c r="D54" s="61" t="s">
        <v>43</v>
      </c>
      <c r="E54" s="12">
        <v>45858.0</v>
      </c>
      <c r="F54" s="62">
        <v>3600.0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26">
        <v>51.0</v>
      </c>
      <c r="B55" s="54">
        <v>45863.0</v>
      </c>
      <c r="C55" s="42" t="s">
        <v>138</v>
      </c>
      <c r="D55" s="61" t="s">
        <v>43</v>
      </c>
      <c r="E55" s="12">
        <v>45863.0</v>
      </c>
      <c r="F55" s="62">
        <v>5430.0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26">
        <v>52.0</v>
      </c>
      <c r="B56" s="54">
        <v>45857.0</v>
      </c>
      <c r="C56" s="26" t="s">
        <v>141</v>
      </c>
      <c r="D56" s="48" t="s">
        <v>43</v>
      </c>
      <c r="E56" s="12">
        <v>45857.0</v>
      </c>
      <c r="F56" s="49">
        <v>70.0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26">
        <v>53.0</v>
      </c>
      <c r="B57" s="54">
        <v>45857.0</v>
      </c>
      <c r="C57" s="26" t="s">
        <v>143</v>
      </c>
      <c r="D57" s="48" t="s">
        <v>43</v>
      </c>
      <c r="E57" s="12">
        <v>45857.0</v>
      </c>
      <c r="F57" s="49">
        <v>200.0</v>
      </c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26">
        <v>54.0</v>
      </c>
      <c r="B58" s="17">
        <v>45864.0</v>
      </c>
      <c r="C58" s="26" t="s">
        <v>144</v>
      </c>
      <c r="D58" s="26" t="s">
        <v>43</v>
      </c>
      <c r="E58" s="12">
        <v>45864.0</v>
      </c>
      <c r="F58" s="27">
        <v>600.0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26">
        <v>55.0</v>
      </c>
      <c r="B59" s="17">
        <v>45865.0</v>
      </c>
      <c r="C59" s="26" t="s">
        <v>146</v>
      </c>
      <c r="D59" s="26" t="s">
        <v>9</v>
      </c>
      <c r="E59" s="12">
        <v>45865.0</v>
      </c>
      <c r="F59" s="27">
        <v>375.0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26">
        <v>56.0</v>
      </c>
      <c r="B60" s="17">
        <v>45865.0</v>
      </c>
      <c r="C60" s="26" t="s">
        <v>148</v>
      </c>
      <c r="D60" s="26" t="s">
        <v>43</v>
      </c>
      <c r="E60" s="12">
        <v>45865.0</v>
      </c>
      <c r="F60" s="27">
        <v>300.0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26">
        <v>57.0</v>
      </c>
      <c r="B61" s="17">
        <v>45865.0</v>
      </c>
      <c r="C61" s="26" t="s">
        <v>149</v>
      </c>
      <c r="D61" s="26" t="s">
        <v>43</v>
      </c>
      <c r="E61" s="12">
        <v>45865.0</v>
      </c>
      <c r="F61" s="27">
        <v>1500.0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26">
        <v>58.0</v>
      </c>
      <c r="B62" s="17">
        <v>45865.0</v>
      </c>
      <c r="C62" s="26" t="s">
        <v>151</v>
      </c>
      <c r="D62" s="26" t="s">
        <v>43</v>
      </c>
      <c r="E62" s="12" t="s">
        <v>153</v>
      </c>
      <c r="F62" s="27">
        <v>2720.0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26">
        <v>59.0</v>
      </c>
      <c r="B63" s="17">
        <v>45865.0</v>
      </c>
      <c r="C63" s="26" t="s">
        <v>156</v>
      </c>
      <c r="D63" s="26"/>
      <c r="E63" s="12"/>
      <c r="F63" s="27">
        <v>550.0</v>
      </c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26">
        <v>60.0</v>
      </c>
      <c r="B64" s="17">
        <v>45865.0</v>
      </c>
      <c r="C64" s="26" t="s">
        <v>159</v>
      </c>
      <c r="D64" s="26" t="s">
        <v>43</v>
      </c>
      <c r="E64" s="12">
        <v>45865.0</v>
      </c>
      <c r="F64" s="27">
        <v>800.0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26">
        <v>61.0</v>
      </c>
      <c r="B65" s="17">
        <v>45866.0</v>
      </c>
      <c r="C65" s="26" t="s">
        <v>160</v>
      </c>
      <c r="D65" s="26" t="s">
        <v>43</v>
      </c>
      <c r="E65" s="12">
        <v>45878.0</v>
      </c>
      <c r="F65" s="27">
        <v>1500.0</v>
      </c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26">
        <v>62.0</v>
      </c>
      <c r="B66" s="17">
        <v>45866.0</v>
      </c>
      <c r="C66" s="26" t="s">
        <v>163</v>
      </c>
      <c r="D66" s="26" t="s">
        <v>43</v>
      </c>
      <c r="E66" s="12">
        <v>45866.0</v>
      </c>
      <c r="F66" s="27">
        <v>700.0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26">
        <v>63.0</v>
      </c>
      <c r="B67" s="17">
        <v>45867.0</v>
      </c>
      <c r="C67" s="26" t="s">
        <v>165</v>
      </c>
      <c r="D67" s="26" t="s">
        <v>43</v>
      </c>
      <c r="E67" s="12">
        <v>45867.0</v>
      </c>
      <c r="F67" s="27">
        <v>3200.0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26">
        <v>64.0</v>
      </c>
      <c r="B68" s="17">
        <v>45868.0</v>
      </c>
      <c r="C68" s="26" t="s">
        <v>167</v>
      </c>
      <c r="D68" s="10" t="s">
        <v>9</v>
      </c>
      <c r="E68" s="17">
        <v>45958.0</v>
      </c>
      <c r="F68" s="27">
        <v>63650.0</v>
      </c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26">
        <v>65.0</v>
      </c>
      <c r="B69" s="17">
        <v>45866.0</v>
      </c>
      <c r="C69" s="26" t="s">
        <v>168</v>
      </c>
      <c r="D69" s="26" t="s">
        <v>43</v>
      </c>
      <c r="E69" s="12">
        <v>45866.0</v>
      </c>
      <c r="F69" s="27">
        <v>800.0</v>
      </c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26">
        <v>66.0</v>
      </c>
      <c r="B70" s="17">
        <v>45871.0</v>
      </c>
      <c r="C70" s="26" t="s">
        <v>172</v>
      </c>
      <c r="D70" s="26" t="s">
        <v>43</v>
      </c>
      <c r="E70" s="12">
        <v>45871.0</v>
      </c>
      <c r="F70" s="27">
        <v>330.0</v>
      </c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26">
        <v>67.0</v>
      </c>
      <c r="B71" s="17">
        <v>45873.0</v>
      </c>
      <c r="C71" s="26" t="s">
        <v>176</v>
      </c>
      <c r="D71" s="26" t="s">
        <v>43</v>
      </c>
      <c r="E71" s="12">
        <v>45873.0</v>
      </c>
      <c r="F71" s="27">
        <v>85.0</v>
      </c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26">
        <v>68.0</v>
      </c>
      <c r="B72" s="17">
        <v>45869.0</v>
      </c>
      <c r="C72" s="26" t="s">
        <v>178</v>
      </c>
      <c r="D72" s="26" t="s">
        <v>9</v>
      </c>
      <c r="E72" s="12">
        <v>45869.0</v>
      </c>
      <c r="F72" s="27">
        <v>27027.0</v>
      </c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26">
        <v>69.0</v>
      </c>
      <c r="B73" s="17">
        <v>45874.0</v>
      </c>
      <c r="C73" s="26" t="s">
        <v>182</v>
      </c>
      <c r="D73" s="26" t="s">
        <v>27</v>
      </c>
      <c r="E73" s="12">
        <v>45874.0</v>
      </c>
      <c r="F73" s="27">
        <v>600.0</v>
      </c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26">
        <v>70.0</v>
      </c>
      <c r="B74" s="17">
        <v>45876.0</v>
      </c>
      <c r="C74" s="26" t="s">
        <v>167</v>
      </c>
      <c r="D74" s="10" t="s">
        <v>9</v>
      </c>
      <c r="E74" s="17">
        <v>45958.0</v>
      </c>
      <c r="F74" s="27">
        <v>20000.0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26">
        <v>71.0</v>
      </c>
      <c r="B75" s="17">
        <v>45873.0</v>
      </c>
      <c r="C75" s="26" t="s">
        <v>184</v>
      </c>
      <c r="D75" s="26" t="s">
        <v>43</v>
      </c>
      <c r="E75" s="12">
        <v>45873.0</v>
      </c>
      <c r="F75" s="27">
        <v>500.0</v>
      </c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26">
        <v>72.0</v>
      </c>
      <c r="B76" s="17">
        <v>45879.0</v>
      </c>
      <c r="C76" s="26" t="s">
        <v>186</v>
      </c>
      <c r="D76" s="26"/>
      <c r="E76" s="12"/>
      <c r="F76" s="27">
        <v>1840.0</v>
      </c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26">
        <v>73.0</v>
      </c>
      <c r="B77" s="17">
        <v>45881.0</v>
      </c>
      <c r="C77" s="26" t="s">
        <v>189</v>
      </c>
      <c r="D77" s="26" t="s">
        <v>43</v>
      </c>
      <c r="E77" s="12">
        <v>45880.0</v>
      </c>
      <c r="F77" s="27">
        <v>2600.0</v>
      </c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26">
        <v>74.0</v>
      </c>
      <c r="B78" s="17">
        <v>45881.0</v>
      </c>
      <c r="C78" s="26" t="s">
        <v>191</v>
      </c>
      <c r="D78" s="26" t="s">
        <v>27</v>
      </c>
      <c r="E78" s="12">
        <v>45883.0</v>
      </c>
      <c r="F78" s="27">
        <v>9300.0</v>
      </c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26">
        <v>75.0</v>
      </c>
      <c r="B79" s="17">
        <v>45881.0</v>
      </c>
      <c r="C79" s="26" t="s">
        <v>184</v>
      </c>
      <c r="D79" s="26" t="s">
        <v>43</v>
      </c>
      <c r="E79" s="12">
        <v>45881.0</v>
      </c>
      <c r="F79" s="27">
        <v>500.0</v>
      </c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26">
        <v>76.0</v>
      </c>
      <c r="B80" s="17">
        <v>45881.0</v>
      </c>
      <c r="C80" s="26" t="s">
        <v>194</v>
      </c>
      <c r="D80" s="26" t="s">
        <v>16</v>
      </c>
      <c r="E80" s="12">
        <v>45881.0</v>
      </c>
      <c r="F80" s="27">
        <v>19500.0</v>
      </c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26">
        <v>77.0</v>
      </c>
      <c r="B81" s="17">
        <v>45882.0</v>
      </c>
      <c r="C81" s="26" t="s">
        <v>197</v>
      </c>
      <c r="D81" s="26" t="s">
        <v>43</v>
      </c>
      <c r="E81" s="12">
        <v>45882.0</v>
      </c>
      <c r="F81" s="27">
        <v>603.0</v>
      </c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26">
        <v>78.0</v>
      </c>
      <c r="B82" s="17">
        <v>45882.0</v>
      </c>
      <c r="C82" s="26" t="s">
        <v>167</v>
      </c>
      <c r="D82" s="10" t="s">
        <v>9</v>
      </c>
      <c r="E82" s="17">
        <v>45958.0</v>
      </c>
      <c r="F82" s="27">
        <v>3000.0</v>
      </c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26">
        <v>79.0</v>
      </c>
      <c r="B83" s="17">
        <v>45883.0</v>
      </c>
      <c r="C83" s="26" t="s">
        <v>199</v>
      </c>
      <c r="D83" s="17" t="s">
        <v>43</v>
      </c>
      <c r="E83" s="12">
        <v>45883.0</v>
      </c>
      <c r="F83" s="27">
        <v>350.0</v>
      </c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26">
        <v>80.0</v>
      </c>
      <c r="B84" s="17">
        <v>45885.0</v>
      </c>
      <c r="C84" s="26" t="s">
        <v>167</v>
      </c>
      <c r="D84" s="10" t="s">
        <v>9</v>
      </c>
      <c r="E84" s="17">
        <v>45958.0</v>
      </c>
      <c r="F84" s="27">
        <v>5000.0</v>
      </c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28">
        <v>45659.0</v>
      </c>
      <c r="B85" s="17">
        <v>45885.0</v>
      </c>
      <c r="C85" s="48" t="s">
        <v>205</v>
      </c>
      <c r="D85" s="48" t="s">
        <v>9</v>
      </c>
      <c r="E85" s="12">
        <v>45884.0</v>
      </c>
      <c r="F85" s="27">
        <v>1050.0</v>
      </c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28">
        <v>45690.0</v>
      </c>
      <c r="B86" s="17">
        <v>45888.0</v>
      </c>
      <c r="C86" s="26" t="s">
        <v>167</v>
      </c>
      <c r="D86" s="10" t="s">
        <v>9</v>
      </c>
      <c r="E86" s="17">
        <v>45958.0</v>
      </c>
      <c r="F86" s="27">
        <v>30000.0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28">
        <v>45718.0</v>
      </c>
      <c r="B87" s="17">
        <v>45885.0</v>
      </c>
      <c r="C87" s="26" t="s">
        <v>211</v>
      </c>
      <c r="D87" s="26" t="s">
        <v>27</v>
      </c>
      <c r="E87" s="12">
        <v>45884.0</v>
      </c>
      <c r="F87" s="27">
        <v>4840.0</v>
      </c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28">
        <v>45749.0</v>
      </c>
      <c r="B88" s="17">
        <v>45885.0</v>
      </c>
      <c r="C88" s="26" t="s">
        <v>212</v>
      </c>
      <c r="D88" s="26" t="s">
        <v>43</v>
      </c>
      <c r="E88" s="12" t="s">
        <v>153</v>
      </c>
      <c r="F88" s="27">
        <v>4000.0</v>
      </c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28">
        <v>45779.0</v>
      </c>
      <c r="B89" s="17">
        <v>45885.0</v>
      </c>
      <c r="C89" s="26" t="s">
        <v>214</v>
      </c>
      <c r="D89" s="26" t="s">
        <v>27</v>
      </c>
      <c r="E89" s="12">
        <v>45885.0</v>
      </c>
      <c r="F89" s="27">
        <v>840.0</v>
      </c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28">
        <v>45810.0</v>
      </c>
      <c r="B90" s="17">
        <v>45885.0</v>
      </c>
      <c r="C90" s="26" t="s">
        <v>216</v>
      </c>
      <c r="D90" s="26" t="s">
        <v>27</v>
      </c>
      <c r="E90" s="12">
        <v>45885.0</v>
      </c>
      <c r="F90" s="27">
        <v>1850.0</v>
      </c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28">
        <v>45840.0</v>
      </c>
      <c r="B91" s="17">
        <v>45885.0</v>
      </c>
      <c r="C91" s="26" t="s">
        <v>218</v>
      </c>
      <c r="D91" s="26" t="s">
        <v>27</v>
      </c>
      <c r="E91" s="12">
        <v>45885.0</v>
      </c>
      <c r="F91" s="27">
        <v>1000.0</v>
      </c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28">
        <v>45871.0</v>
      </c>
      <c r="B92" s="17">
        <v>45885.0</v>
      </c>
      <c r="C92" s="26" t="s">
        <v>220</v>
      </c>
      <c r="D92" s="26" t="s">
        <v>27</v>
      </c>
      <c r="E92" s="12">
        <v>45885.0</v>
      </c>
      <c r="F92" s="27">
        <v>1000.0</v>
      </c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28">
        <v>45902.0</v>
      </c>
      <c r="B93" s="17">
        <v>45885.0</v>
      </c>
      <c r="C93" s="26" t="s">
        <v>222</v>
      </c>
      <c r="D93" s="26" t="s">
        <v>27</v>
      </c>
      <c r="E93" s="12">
        <v>45884.0</v>
      </c>
      <c r="F93" s="27">
        <v>4000.0</v>
      </c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28">
        <v>45932.0</v>
      </c>
      <c r="B94" s="17">
        <v>45885.0</v>
      </c>
      <c r="C94" s="26" t="s">
        <v>226</v>
      </c>
      <c r="D94" s="26" t="s">
        <v>27</v>
      </c>
      <c r="E94" s="12">
        <v>45885.0</v>
      </c>
      <c r="F94" s="27">
        <v>1200.0</v>
      </c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28">
        <v>45963.0</v>
      </c>
      <c r="B95" s="17">
        <v>45885.0</v>
      </c>
      <c r="C95" s="26" t="s">
        <v>227</v>
      </c>
      <c r="D95" s="26" t="s">
        <v>43</v>
      </c>
      <c r="E95" s="12">
        <v>45885.0</v>
      </c>
      <c r="F95" s="27">
        <v>260.0</v>
      </c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28">
        <v>45993.0</v>
      </c>
      <c r="B96" s="17">
        <v>45884.0</v>
      </c>
      <c r="C96" s="26" t="s">
        <v>230</v>
      </c>
      <c r="D96" s="26" t="s">
        <v>27</v>
      </c>
      <c r="E96" s="12">
        <v>45884.0</v>
      </c>
      <c r="F96" s="27">
        <v>1500.0</v>
      </c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26" t="s">
        <v>232</v>
      </c>
      <c r="B97" s="17">
        <v>46250.0</v>
      </c>
      <c r="C97" s="26" t="s">
        <v>233</v>
      </c>
      <c r="D97" s="26" t="s">
        <v>43</v>
      </c>
      <c r="E97" s="12">
        <v>45885.0</v>
      </c>
      <c r="F97" s="27">
        <v>725.0</v>
      </c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26" t="s">
        <v>234</v>
      </c>
      <c r="B98" s="17">
        <v>45885.0</v>
      </c>
      <c r="C98" s="26" t="s">
        <v>235</v>
      </c>
      <c r="D98" s="26" t="s">
        <v>27</v>
      </c>
      <c r="E98" s="12">
        <v>45885.0</v>
      </c>
      <c r="F98" s="27">
        <v>300.0</v>
      </c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26" t="s">
        <v>237</v>
      </c>
      <c r="B99" s="17">
        <v>46253.0</v>
      </c>
      <c r="C99" s="26" t="s">
        <v>239</v>
      </c>
      <c r="D99" s="26" t="s">
        <v>43</v>
      </c>
      <c r="E99" s="12">
        <v>45888.0</v>
      </c>
      <c r="F99" s="27">
        <v>120.0</v>
      </c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26" t="s">
        <v>242</v>
      </c>
      <c r="B100" s="17">
        <v>45889.0</v>
      </c>
      <c r="C100" s="26" t="s">
        <v>244</v>
      </c>
      <c r="D100" s="26" t="s">
        <v>35</v>
      </c>
      <c r="E100" s="12">
        <v>45889.0</v>
      </c>
      <c r="F100" s="27">
        <v>7100.0</v>
      </c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26" t="s">
        <v>245</v>
      </c>
      <c r="B101" s="17">
        <v>45889.0</v>
      </c>
      <c r="C101" s="26" t="s">
        <v>246</v>
      </c>
      <c r="D101" s="26" t="s">
        <v>16</v>
      </c>
      <c r="E101" s="12">
        <v>45888.0</v>
      </c>
      <c r="F101" s="27">
        <v>5000.0</v>
      </c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26" t="s">
        <v>247</v>
      </c>
      <c r="B102" s="17">
        <v>45889.0</v>
      </c>
      <c r="C102" s="26" t="s">
        <v>248</v>
      </c>
      <c r="D102" s="26" t="s">
        <v>43</v>
      </c>
      <c r="E102" s="12">
        <v>45889.0</v>
      </c>
      <c r="F102" s="27">
        <v>840.0</v>
      </c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26" t="s">
        <v>250</v>
      </c>
      <c r="B103" s="17">
        <v>45892.0</v>
      </c>
      <c r="C103" s="26" t="s">
        <v>252</v>
      </c>
      <c r="D103" s="26" t="s">
        <v>51</v>
      </c>
      <c r="E103" s="12">
        <v>45885.0</v>
      </c>
      <c r="F103" s="27">
        <v>16500.0</v>
      </c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26" t="s">
        <v>254</v>
      </c>
      <c r="B104" s="17">
        <v>45892.0</v>
      </c>
      <c r="C104" s="26" t="s">
        <v>255</v>
      </c>
      <c r="D104" s="26" t="s">
        <v>9</v>
      </c>
      <c r="E104" s="17">
        <v>45892.0</v>
      </c>
      <c r="F104" s="27">
        <v>10000.0</v>
      </c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26" t="s">
        <v>256</v>
      </c>
      <c r="B105" s="17">
        <v>45894.0</v>
      </c>
      <c r="C105" s="26" t="s">
        <v>257</v>
      </c>
      <c r="D105" s="26" t="s">
        <v>27</v>
      </c>
      <c r="E105" s="12">
        <v>45885.0</v>
      </c>
      <c r="F105" s="27">
        <v>33000.0</v>
      </c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26" t="s">
        <v>259</v>
      </c>
      <c r="B106" s="17">
        <v>45894.0</v>
      </c>
      <c r="C106" s="26" t="s">
        <v>261</v>
      </c>
      <c r="D106" s="26" t="s">
        <v>9</v>
      </c>
      <c r="E106" s="12">
        <v>45890.0</v>
      </c>
      <c r="F106" s="27">
        <v>12500.0</v>
      </c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26" t="s">
        <v>263</v>
      </c>
      <c r="B107" s="17">
        <v>45895.0</v>
      </c>
      <c r="C107" s="26" t="s">
        <v>265</v>
      </c>
      <c r="D107" s="26" t="s">
        <v>9</v>
      </c>
      <c r="E107" s="12">
        <v>45894.0</v>
      </c>
      <c r="F107" s="27">
        <v>19500.0</v>
      </c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26" t="s">
        <v>266</v>
      </c>
      <c r="B108" s="17">
        <v>45895.0</v>
      </c>
      <c r="C108" s="26" t="s">
        <v>267</v>
      </c>
      <c r="D108" s="26"/>
      <c r="E108" s="12"/>
      <c r="F108" s="27">
        <v>1000.0</v>
      </c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26" t="s">
        <v>268</v>
      </c>
      <c r="B109" s="17">
        <v>45896.0</v>
      </c>
      <c r="C109" s="26" t="s">
        <v>255</v>
      </c>
      <c r="D109" s="26" t="s">
        <v>9</v>
      </c>
      <c r="E109" s="17">
        <v>45896.0</v>
      </c>
      <c r="F109" s="27">
        <v>20000.0</v>
      </c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26" t="s">
        <v>271</v>
      </c>
      <c r="B110" s="17">
        <v>45896.0</v>
      </c>
      <c r="C110" s="26" t="s">
        <v>272</v>
      </c>
      <c r="D110" s="26" t="s">
        <v>9</v>
      </c>
      <c r="E110" s="17">
        <v>45896.0</v>
      </c>
      <c r="F110" s="27">
        <v>17000.0</v>
      </c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26" t="s">
        <v>274</v>
      </c>
      <c r="B111" s="17">
        <v>45899.0</v>
      </c>
      <c r="C111" s="26" t="s">
        <v>167</v>
      </c>
      <c r="D111" s="10" t="s">
        <v>9</v>
      </c>
      <c r="E111" s="17">
        <v>45958.0</v>
      </c>
      <c r="F111" s="27">
        <v>30000.0</v>
      </c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26" t="s">
        <v>276</v>
      </c>
      <c r="B112" s="54">
        <v>45903.0</v>
      </c>
      <c r="C112" s="26" t="s">
        <v>277</v>
      </c>
      <c r="D112" s="26" t="s">
        <v>9</v>
      </c>
      <c r="E112" s="54">
        <v>45903.0</v>
      </c>
      <c r="F112" s="27">
        <v>35000.0</v>
      </c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26" t="s">
        <v>279</v>
      </c>
      <c r="B113" s="17">
        <v>45903.0</v>
      </c>
      <c r="C113" s="26" t="s">
        <v>281</v>
      </c>
      <c r="D113" s="26" t="s">
        <v>43</v>
      </c>
      <c r="E113" s="12">
        <v>45903.0</v>
      </c>
      <c r="F113" s="27">
        <v>900.0</v>
      </c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26" t="s">
        <v>283</v>
      </c>
      <c r="B114" s="17">
        <v>45899.0</v>
      </c>
      <c r="C114" s="26" t="s">
        <v>285</v>
      </c>
      <c r="D114" s="26"/>
      <c r="E114" s="12"/>
      <c r="F114" s="27">
        <v>6050.0</v>
      </c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26" t="s">
        <v>286</v>
      </c>
      <c r="B115" s="17">
        <v>45899.0</v>
      </c>
      <c r="C115" s="26" t="s">
        <v>289</v>
      </c>
      <c r="D115" s="26" t="s">
        <v>16</v>
      </c>
      <c r="E115" s="12">
        <v>45899.0</v>
      </c>
      <c r="F115" s="27">
        <v>20000.0</v>
      </c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26" t="s">
        <v>290</v>
      </c>
      <c r="B116" s="17">
        <v>45906.0</v>
      </c>
      <c r="C116" s="26" t="s">
        <v>291</v>
      </c>
      <c r="D116" s="26" t="s">
        <v>9</v>
      </c>
      <c r="E116" s="17">
        <v>45906.0</v>
      </c>
      <c r="F116" s="27">
        <v>6000.0</v>
      </c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26" t="s">
        <v>293</v>
      </c>
      <c r="B117" s="17">
        <v>45907.0</v>
      </c>
      <c r="C117" s="26" t="s">
        <v>294</v>
      </c>
      <c r="D117" s="26" t="s">
        <v>9</v>
      </c>
      <c r="E117" s="17">
        <v>45907.0</v>
      </c>
      <c r="F117" s="27">
        <v>12200.0</v>
      </c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26" t="s">
        <v>296</v>
      </c>
      <c r="B118" s="17">
        <v>45908.0</v>
      </c>
      <c r="C118" s="26" t="s">
        <v>297</v>
      </c>
      <c r="D118" s="26" t="s">
        <v>9</v>
      </c>
      <c r="E118" s="12">
        <v>45917.0</v>
      </c>
      <c r="F118" s="27">
        <v>6300.0</v>
      </c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26" t="s">
        <v>299</v>
      </c>
      <c r="B119" s="17">
        <v>45907.0</v>
      </c>
      <c r="C119" s="26" t="s">
        <v>300</v>
      </c>
      <c r="D119" s="26" t="s">
        <v>9</v>
      </c>
      <c r="E119" s="12">
        <v>45907.0</v>
      </c>
      <c r="F119" s="27">
        <v>11340.0</v>
      </c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26" t="s">
        <v>302</v>
      </c>
      <c r="B120" s="17">
        <v>45908.0</v>
      </c>
      <c r="C120" s="26" t="s">
        <v>304</v>
      </c>
      <c r="D120" s="26" t="s">
        <v>9</v>
      </c>
      <c r="E120" s="12">
        <v>45904.0</v>
      </c>
      <c r="F120" s="27">
        <v>7975.0</v>
      </c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26" t="s">
        <v>307</v>
      </c>
      <c r="B121" s="17">
        <v>45908.0</v>
      </c>
      <c r="C121" s="26" t="s">
        <v>308</v>
      </c>
      <c r="D121" s="26" t="s">
        <v>9</v>
      </c>
      <c r="E121" s="12">
        <v>45893.0</v>
      </c>
      <c r="F121" s="27">
        <v>2000.0</v>
      </c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26" t="s">
        <v>311</v>
      </c>
      <c r="B122" s="17">
        <v>45909.0</v>
      </c>
      <c r="C122" s="26" t="s">
        <v>312</v>
      </c>
      <c r="D122" s="26" t="s">
        <v>9</v>
      </c>
      <c r="E122" s="12">
        <v>45909.0</v>
      </c>
      <c r="F122" s="27">
        <v>4000.0</v>
      </c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26" t="s">
        <v>314</v>
      </c>
      <c r="B123" s="17">
        <v>45909.0</v>
      </c>
      <c r="C123" s="68" t="s">
        <v>315</v>
      </c>
      <c r="D123" s="26" t="s">
        <v>9</v>
      </c>
      <c r="E123" s="12">
        <v>45909.0</v>
      </c>
      <c r="F123" s="27">
        <v>58500.0</v>
      </c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26" t="s">
        <v>317</v>
      </c>
      <c r="B124" s="17">
        <v>45911.0</v>
      </c>
      <c r="C124" s="26" t="s">
        <v>318</v>
      </c>
      <c r="D124" s="10" t="s">
        <v>9</v>
      </c>
      <c r="E124" s="17">
        <v>45958.0</v>
      </c>
      <c r="F124" s="27">
        <v>3600.0</v>
      </c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26" t="s">
        <v>321</v>
      </c>
      <c r="B125" s="17">
        <v>45911.0</v>
      </c>
      <c r="C125" s="26" t="s">
        <v>322</v>
      </c>
      <c r="D125" s="26" t="s">
        <v>9</v>
      </c>
      <c r="E125" s="17">
        <v>45911.0</v>
      </c>
      <c r="F125" s="27">
        <v>18800.0</v>
      </c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26" t="s">
        <v>323</v>
      </c>
      <c r="B126" s="17">
        <v>45913.0</v>
      </c>
      <c r="C126" s="26" t="s">
        <v>324</v>
      </c>
      <c r="D126" s="10" t="s">
        <v>9</v>
      </c>
      <c r="E126" s="17">
        <v>45958.0</v>
      </c>
      <c r="F126" s="27">
        <v>15000.0</v>
      </c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26" t="s">
        <v>326</v>
      </c>
      <c r="B127" s="17">
        <v>45918.0</v>
      </c>
      <c r="C127" s="26" t="s">
        <v>328</v>
      </c>
      <c r="D127" s="26" t="s">
        <v>9</v>
      </c>
      <c r="E127" s="17">
        <v>45918.0</v>
      </c>
      <c r="F127" s="27">
        <v>8500.0</v>
      </c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26" t="s">
        <v>330</v>
      </c>
      <c r="B128" s="17">
        <v>45917.0</v>
      </c>
      <c r="C128" s="26" t="s">
        <v>332</v>
      </c>
      <c r="D128" s="26" t="s">
        <v>9</v>
      </c>
      <c r="E128" s="12">
        <v>45918.0</v>
      </c>
      <c r="F128" s="27">
        <v>40500.0</v>
      </c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26" t="s">
        <v>333</v>
      </c>
      <c r="B129" s="17">
        <v>45920.0</v>
      </c>
      <c r="C129" s="26" t="s">
        <v>334</v>
      </c>
      <c r="D129" s="26" t="s">
        <v>335</v>
      </c>
      <c r="E129" s="12">
        <v>45917.0</v>
      </c>
      <c r="F129" s="27">
        <v>3910.0</v>
      </c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26" t="s">
        <v>336</v>
      </c>
      <c r="B130" s="17">
        <v>45927.0</v>
      </c>
      <c r="C130" s="26" t="s">
        <v>337</v>
      </c>
      <c r="D130" s="26" t="s">
        <v>9</v>
      </c>
      <c r="E130" s="17">
        <v>45927.0</v>
      </c>
      <c r="F130" s="27">
        <v>20000.0</v>
      </c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26" t="s">
        <v>340</v>
      </c>
      <c r="B131" s="17">
        <v>45927.0</v>
      </c>
      <c r="C131" s="26" t="s">
        <v>341</v>
      </c>
      <c r="D131" s="26" t="s">
        <v>9</v>
      </c>
      <c r="E131" s="17">
        <v>45927.0</v>
      </c>
      <c r="F131" s="27">
        <v>3000.0</v>
      </c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26" t="s">
        <v>343</v>
      </c>
      <c r="B132" s="17">
        <v>45927.0</v>
      </c>
      <c r="C132" s="26" t="s">
        <v>345</v>
      </c>
      <c r="D132" s="10" t="s">
        <v>9</v>
      </c>
      <c r="E132" s="17">
        <v>45958.0</v>
      </c>
      <c r="F132" s="27">
        <v>50000.0</v>
      </c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26" t="s">
        <v>347</v>
      </c>
      <c r="B133" s="17">
        <v>45928.0</v>
      </c>
      <c r="C133" s="26" t="s">
        <v>349</v>
      </c>
      <c r="D133" s="26" t="s">
        <v>9</v>
      </c>
      <c r="E133" s="17">
        <v>45928.0</v>
      </c>
      <c r="F133" s="27">
        <v>3600.0</v>
      </c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26" t="s">
        <v>351</v>
      </c>
      <c r="B134" s="17">
        <v>45932.0</v>
      </c>
      <c r="C134" s="26" t="s">
        <v>354</v>
      </c>
      <c r="D134" s="26" t="s">
        <v>9</v>
      </c>
      <c r="E134" s="17">
        <v>45932.0</v>
      </c>
      <c r="F134" s="27">
        <v>21400.0</v>
      </c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26" t="s">
        <v>356</v>
      </c>
      <c r="B135" s="17">
        <v>45935.0</v>
      </c>
      <c r="C135" s="26" t="s">
        <v>357</v>
      </c>
      <c r="D135" s="26" t="s">
        <v>9</v>
      </c>
      <c r="E135" s="17">
        <v>45935.0</v>
      </c>
      <c r="F135" s="27">
        <v>8100.0</v>
      </c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26" t="s">
        <v>358</v>
      </c>
      <c r="B136" s="17">
        <v>45940.0</v>
      </c>
      <c r="C136" s="26" t="s">
        <v>359</v>
      </c>
      <c r="D136" s="26" t="s">
        <v>9</v>
      </c>
      <c r="E136" s="17">
        <v>45940.0</v>
      </c>
      <c r="F136" s="27">
        <v>20000.0</v>
      </c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26" t="s">
        <v>360</v>
      </c>
      <c r="B137" s="17">
        <v>45940.0</v>
      </c>
      <c r="C137" s="26" t="s">
        <v>362</v>
      </c>
      <c r="D137" s="26" t="s">
        <v>9</v>
      </c>
      <c r="E137" s="17">
        <v>45940.0</v>
      </c>
      <c r="F137" s="27">
        <v>25000.0</v>
      </c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26" t="s">
        <v>364</v>
      </c>
      <c r="B138" s="17">
        <v>45942.0</v>
      </c>
      <c r="C138" s="26" t="s">
        <v>366</v>
      </c>
      <c r="D138" s="26" t="s">
        <v>9</v>
      </c>
      <c r="E138" s="17">
        <v>45942.0</v>
      </c>
      <c r="F138" s="27">
        <v>3800.0</v>
      </c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26" t="s">
        <v>368</v>
      </c>
      <c r="B139" s="17">
        <v>45942.0</v>
      </c>
      <c r="C139" s="26" t="s">
        <v>370</v>
      </c>
      <c r="D139" s="26" t="s">
        <v>27</v>
      </c>
      <c r="E139" s="17">
        <v>45942.0</v>
      </c>
      <c r="F139" s="27">
        <v>3480.0</v>
      </c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26" t="s">
        <v>372</v>
      </c>
      <c r="B140" s="17">
        <v>45942.0</v>
      </c>
      <c r="C140" s="26" t="s">
        <v>373</v>
      </c>
      <c r="D140" s="26" t="s">
        <v>9</v>
      </c>
      <c r="E140" s="17">
        <v>45942.0</v>
      </c>
      <c r="F140" s="27">
        <v>5600.0</v>
      </c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26" t="s">
        <v>376</v>
      </c>
      <c r="B141" s="17">
        <v>45942.0</v>
      </c>
      <c r="C141" s="26" t="s">
        <v>378</v>
      </c>
      <c r="D141" s="26" t="s">
        <v>9</v>
      </c>
      <c r="E141" s="17">
        <v>45942.0</v>
      </c>
      <c r="F141" s="27">
        <v>2000.0</v>
      </c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26" t="s">
        <v>380</v>
      </c>
      <c r="B142" s="17">
        <v>45942.0</v>
      </c>
      <c r="C142" s="26" t="s">
        <v>381</v>
      </c>
      <c r="D142" s="26" t="s">
        <v>9</v>
      </c>
      <c r="E142" s="17">
        <v>45942.0</v>
      </c>
      <c r="F142" s="27">
        <v>3500.0</v>
      </c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26" t="s">
        <v>383</v>
      </c>
      <c r="B143" s="17">
        <v>45944.0</v>
      </c>
      <c r="C143" s="26" t="s">
        <v>384</v>
      </c>
      <c r="D143" s="26" t="s">
        <v>9</v>
      </c>
      <c r="E143" s="17">
        <v>45944.0</v>
      </c>
      <c r="F143" s="27">
        <v>7150.0</v>
      </c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26" t="s">
        <v>386</v>
      </c>
      <c r="B144" s="17">
        <v>45947.0</v>
      </c>
      <c r="C144" s="26" t="s">
        <v>387</v>
      </c>
      <c r="D144" s="26" t="s">
        <v>9</v>
      </c>
      <c r="E144" s="17">
        <v>45947.0</v>
      </c>
      <c r="F144" s="27">
        <v>17000.0</v>
      </c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26" t="s">
        <v>389</v>
      </c>
      <c r="B145" s="17">
        <v>45958.0</v>
      </c>
      <c r="C145" s="26" t="s">
        <v>391</v>
      </c>
      <c r="D145" s="10" t="s">
        <v>9</v>
      </c>
      <c r="E145" s="17">
        <v>45958.0</v>
      </c>
      <c r="F145" s="27">
        <v>64000.0</v>
      </c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26" t="s">
        <v>394</v>
      </c>
      <c r="B146" s="17">
        <v>45947.0</v>
      </c>
      <c r="C146" s="26" t="s">
        <v>396</v>
      </c>
      <c r="D146" s="26" t="s">
        <v>9</v>
      </c>
      <c r="E146" s="17">
        <v>45947.0</v>
      </c>
      <c r="F146" s="27">
        <v>10000.0</v>
      </c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26" t="s">
        <v>397</v>
      </c>
      <c r="B147" s="17">
        <v>45947.0</v>
      </c>
      <c r="C147" s="26" t="s">
        <v>399</v>
      </c>
      <c r="D147" s="26" t="s">
        <v>9</v>
      </c>
      <c r="E147" s="12">
        <v>45947.0</v>
      </c>
      <c r="F147" s="27">
        <v>15500.0</v>
      </c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26" t="s">
        <v>400</v>
      </c>
      <c r="B148" s="17">
        <v>45952.0</v>
      </c>
      <c r="C148" s="26" t="s">
        <v>401</v>
      </c>
      <c r="D148" s="26" t="s">
        <v>43</v>
      </c>
      <c r="E148" s="12" t="s">
        <v>153</v>
      </c>
      <c r="F148" s="27">
        <v>4800.0</v>
      </c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26" t="s">
        <v>402</v>
      </c>
      <c r="B149" s="17">
        <v>45952.0</v>
      </c>
      <c r="C149" s="26" t="s">
        <v>403</v>
      </c>
      <c r="D149" s="26" t="s">
        <v>43</v>
      </c>
      <c r="E149" s="12">
        <v>45952.0</v>
      </c>
      <c r="F149" s="27">
        <v>7120.0</v>
      </c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26" t="s">
        <v>405</v>
      </c>
      <c r="B150" s="17">
        <v>45952.0</v>
      </c>
      <c r="C150" s="26" t="s">
        <v>407</v>
      </c>
      <c r="D150" s="26"/>
      <c r="E150" s="12"/>
      <c r="F150" s="27">
        <v>1394.0</v>
      </c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26" t="s">
        <v>409</v>
      </c>
      <c r="B151" s="17">
        <v>45952.0</v>
      </c>
      <c r="C151" s="26" t="s">
        <v>411</v>
      </c>
      <c r="D151" s="26" t="s">
        <v>27</v>
      </c>
      <c r="E151" s="17">
        <v>45952.0</v>
      </c>
      <c r="F151" s="27">
        <v>15500.0</v>
      </c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26" t="s">
        <v>413</v>
      </c>
      <c r="B152" s="17">
        <v>45962.0</v>
      </c>
      <c r="C152" s="26" t="s">
        <v>414</v>
      </c>
      <c r="D152" s="26" t="s">
        <v>416</v>
      </c>
      <c r="E152" s="12">
        <v>45942.0</v>
      </c>
      <c r="F152" s="27">
        <v>591.0</v>
      </c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26" t="s">
        <v>417</v>
      </c>
      <c r="B153" s="17">
        <v>45970.0</v>
      </c>
      <c r="C153" s="26" t="s">
        <v>418</v>
      </c>
      <c r="D153" s="26" t="s">
        <v>9</v>
      </c>
      <c r="E153" s="12">
        <v>45970.0</v>
      </c>
      <c r="F153" s="27">
        <v>22300.0</v>
      </c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26" t="s">
        <v>420</v>
      </c>
      <c r="B154" s="17">
        <v>45976.0</v>
      </c>
      <c r="C154" s="26" t="s">
        <v>422</v>
      </c>
      <c r="D154" s="26" t="s">
        <v>9</v>
      </c>
      <c r="E154" s="17">
        <v>45976.0</v>
      </c>
      <c r="F154" s="27">
        <v>12400.0</v>
      </c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26" t="s">
        <v>424</v>
      </c>
      <c r="B155" s="17">
        <v>45976.0</v>
      </c>
      <c r="C155" s="26" t="s">
        <v>425</v>
      </c>
      <c r="D155" s="26" t="s">
        <v>9</v>
      </c>
      <c r="E155" s="17">
        <v>45976.0</v>
      </c>
      <c r="F155" s="27">
        <v>12000.0</v>
      </c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28">
        <v>45660.0</v>
      </c>
      <c r="B156" s="17">
        <v>45976.0</v>
      </c>
      <c r="C156" s="26" t="s">
        <v>426</v>
      </c>
      <c r="D156" s="26" t="s">
        <v>9</v>
      </c>
      <c r="E156" s="17">
        <v>45976.0</v>
      </c>
      <c r="F156" s="27">
        <v>30000.0</v>
      </c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28">
        <v>45691.0</v>
      </c>
      <c r="B157" s="17">
        <v>45976.0</v>
      </c>
      <c r="C157" s="26" t="s">
        <v>427</v>
      </c>
      <c r="D157" s="26" t="s">
        <v>9</v>
      </c>
      <c r="E157" s="17">
        <v>45976.0</v>
      </c>
      <c r="F157" s="27">
        <v>4000.0</v>
      </c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28">
        <v>45719.0</v>
      </c>
      <c r="B158" s="17">
        <v>45976.0</v>
      </c>
      <c r="C158" s="26" t="s">
        <v>431</v>
      </c>
      <c r="D158" s="26" t="s">
        <v>9</v>
      </c>
      <c r="E158" s="12">
        <v>45976.0</v>
      </c>
      <c r="F158" s="27">
        <v>9000.0</v>
      </c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28">
        <v>45750.0</v>
      </c>
      <c r="B159" s="17">
        <v>45977.0</v>
      </c>
      <c r="C159" s="26" t="s">
        <v>426</v>
      </c>
      <c r="D159" s="26" t="s">
        <v>9</v>
      </c>
      <c r="E159" s="12">
        <v>45977.0</v>
      </c>
      <c r="F159" s="27">
        <v>10000.0</v>
      </c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28">
        <v>45780.0</v>
      </c>
      <c r="B160" s="17">
        <v>45977.0</v>
      </c>
      <c r="C160" s="26" t="s">
        <v>434</v>
      </c>
      <c r="D160" s="26" t="s">
        <v>9</v>
      </c>
      <c r="E160" s="17">
        <v>45977.0</v>
      </c>
      <c r="F160" s="27">
        <v>2000.0</v>
      </c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28">
        <v>45811.0</v>
      </c>
      <c r="B161" s="17">
        <v>45978.0</v>
      </c>
      <c r="C161" s="26" t="s">
        <v>435</v>
      </c>
      <c r="D161" s="26" t="s">
        <v>9</v>
      </c>
      <c r="E161" s="12">
        <v>45978.0</v>
      </c>
      <c r="F161" s="27">
        <v>8000.0</v>
      </c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28">
        <v>45841.0</v>
      </c>
      <c r="B162" s="17">
        <v>45978.0</v>
      </c>
      <c r="C162" s="26" t="s">
        <v>439</v>
      </c>
      <c r="D162" s="26" t="s">
        <v>9</v>
      </c>
      <c r="E162" s="12" t="s">
        <v>440</v>
      </c>
      <c r="F162" s="27">
        <v>350.0</v>
      </c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28">
        <v>45872.0</v>
      </c>
      <c r="B163" s="17">
        <v>45979.0</v>
      </c>
      <c r="C163" s="26" t="s">
        <v>441</v>
      </c>
      <c r="D163" s="26" t="s">
        <v>9</v>
      </c>
      <c r="E163" s="17">
        <v>45979.0</v>
      </c>
      <c r="F163" s="27">
        <v>2000.0</v>
      </c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28">
        <v>45903.0</v>
      </c>
      <c r="B164" s="17">
        <v>45979.0</v>
      </c>
      <c r="C164" s="26" t="s">
        <v>441</v>
      </c>
      <c r="D164" s="26" t="s">
        <v>9</v>
      </c>
      <c r="E164" s="17">
        <v>45979.0</v>
      </c>
      <c r="F164" s="27">
        <v>10000.0</v>
      </c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28">
        <v>45933.0</v>
      </c>
      <c r="B165" s="17">
        <v>45979.0</v>
      </c>
      <c r="C165" s="26" t="s">
        <v>441</v>
      </c>
      <c r="D165" s="26" t="s">
        <v>9</v>
      </c>
      <c r="E165" s="17">
        <v>45979.0</v>
      </c>
      <c r="F165" s="27">
        <v>2000.0</v>
      </c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28">
        <v>45964.0</v>
      </c>
      <c r="B166" s="17">
        <v>45982.0</v>
      </c>
      <c r="C166" s="26" t="s">
        <v>448</v>
      </c>
      <c r="D166" s="26" t="s">
        <v>9</v>
      </c>
      <c r="E166" s="17">
        <v>45982.0</v>
      </c>
      <c r="F166" s="27">
        <v>12000.0</v>
      </c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28">
        <v>45994.0</v>
      </c>
      <c r="B167" s="17">
        <v>45982.0</v>
      </c>
      <c r="C167" s="26" t="s">
        <v>449</v>
      </c>
      <c r="D167" s="26" t="s">
        <v>46</v>
      </c>
      <c r="E167" s="12">
        <v>45981.0</v>
      </c>
      <c r="F167" s="27">
        <v>13000.0</v>
      </c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26" t="s">
        <v>450</v>
      </c>
      <c r="B168" s="17">
        <v>45983.0</v>
      </c>
      <c r="C168" s="26" t="s">
        <v>451</v>
      </c>
      <c r="D168" s="26" t="s">
        <v>46</v>
      </c>
      <c r="E168" s="12">
        <v>45983.0</v>
      </c>
      <c r="F168" s="27">
        <v>21000.0</v>
      </c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26" t="s">
        <v>453</v>
      </c>
      <c r="B169" s="17">
        <v>45983.0</v>
      </c>
      <c r="C169" s="26" t="s">
        <v>455</v>
      </c>
      <c r="D169" s="26" t="s">
        <v>46</v>
      </c>
      <c r="E169" s="12">
        <v>45983.0</v>
      </c>
      <c r="F169" s="27">
        <v>2500.0</v>
      </c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26" t="s">
        <v>456</v>
      </c>
      <c r="B170" s="17">
        <v>45984.0</v>
      </c>
      <c r="C170" s="26" t="s">
        <v>457</v>
      </c>
      <c r="D170" s="26" t="s">
        <v>35</v>
      </c>
      <c r="E170" s="12">
        <v>45984.0</v>
      </c>
      <c r="F170" s="27">
        <v>36500.0</v>
      </c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26" t="s">
        <v>459</v>
      </c>
      <c r="B171" s="17">
        <v>45981.0</v>
      </c>
      <c r="C171" s="26" t="s">
        <v>461</v>
      </c>
      <c r="D171" s="26" t="s">
        <v>43</v>
      </c>
      <c r="E171" s="12" t="s">
        <v>153</v>
      </c>
      <c r="F171" s="27">
        <v>4200.0</v>
      </c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26" t="s">
        <v>465</v>
      </c>
      <c r="B172" s="17">
        <v>45988.0</v>
      </c>
      <c r="C172" s="26" t="s">
        <v>466</v>
      </c>
      <c r="D172" s="26" t="s">
        <v>46</v>
      </c>
      <c r="E172" s="12">
        <v>45983.0</v>
      </c>
      <c r="F172" s="27">
        <v>8488.0</v>
      </c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26" t="s">
        <v>468</v>
      </c>
      <c r="B173" s="17">
        <v>45988.0</v>
      </c>
      <c r="C173" s="26" t="s">
        <v>469</v>
      </c>
      <c r="D173" s="26" t="s">
        <v>16</v>
      </c>
      <c r="E173" s="12">
        <v>45965.0</v>
      </c>
      <c r="F173" s="27">
        <v>25000.0</v>
      </c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26" t="s">
        <v>470</v>
      </c>
      <c r="B174" s="17">
        <v>45988.0</v>
      </c>
      <c r="C174" s="26" t="s">
        <v>471</v>
      </c>
      <c r="D174" s="26" t="s">
        <v>46</v>
      </c>
      <c r="E174" s="12">
        <v>45983.0</v>
      </c>
      <c r="F174" s="27">
        <v>1200.0</v>
      </c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26" t="s">
        <v>472</v>
      </c>
      <c r="B175" s="17">
        <v>45988.0</v>
      </c>
      <c r="C175" s="26" t="s">
        <v>474</v>
      </c>
      <c r="D175" s="26" t="s">
        <v>16</v>
      </c>
      <c r="E175" s="12">
        <v>45935.0</v>
      </c>
      <c r="F175" s="27">
        <v>7000.0</v>
      </c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26" t="s">
        <v>476</v>
      </c>
      <c r="B176" s="17">
        <v>45988.0</v>
      </c>
      <c r="C176" s="26" t="s">
        <v>477</v>
      </c>
      <c r="D176" s="26" t="s">
        <v>16</v>
      </c>
      <c r="E176" s="12">
        <v>45935.0</v>
      </c>
      <c r="F176" s="27">
        <v>10245.0</v>
      </c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26" t="s">
        <v>479</v>
      </c>
      <c r="B177" s="17">
        <v>45988.0</v>
      </c>
      <c r="C177" s="26" t="s">
        <v>481</v>
      </c>
      <c r="D177" s="26" t="s">
        <v>46</v>
      </c>
      <c r="E177" s="12">
        <v>45983.0</v>
      </c>
      <c r="F177" s="27">
        <v>2100.0</v>
      </c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26" t="s">
        <v>483</v>
      </c>
      <c r="B178" s="17">
        <v>45988.0</v>
      </c>
      <c r="C178" s="26" t="s">
        <v>484</v>
      </c>
      <c r="D178" s="26" t="s">
        <v>46</v>
      </c>
      <c r="E178" s="12">
        <v>45994.0</v>
      </c>
      <c r="F178" s="27">
        <v>25000.0</v>
      </c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26" t="s">
        <v>488</v>
      </c>
      <c r="B179" s="17">
        <v>45980.0</v>
      </c>
      <c r="C179" s="26" t="s">
        <v>489</v>
      </c>
      <c r="D179" s="26" t="s">
        <v>46</v>
      </c>
      <c r="E179" s="12">
        <v>45980.0</v>
      </c>
      <c r="F179" s="27">
        <v>6860.0</v>
      </c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26" t="s">
        <v>490</v>
      </c>
      <c r="B180" s="17">
        <v>45994.0</v>
      </c>
      <c r="C180" s="26" t="s">
        <v>491</v>
      </c>
      <c r="D180" s="26" t="s">
        <v>16</v>
      </c>
      <c r="E180" s="12">
        <v>45995.0</v>
      </c>
      <c r="F180" s="27">
        <v>10000.0</v>
      </c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26" t="s">
        <v>492</v>
      </c>
      <c r="B181" s="17">
        <v>45994.0</v>
      </c>
      <c r="C181" s="26" t="s">
        <v>493</v>
      </c>
      <c r="D181" s="26" t="s">
        <v>16</v>
      </c>
      <c r="E181" s="12">
        <v>45995.0</v>
      </c>
      <c r="F181" s="27">
        <v>14000.0</v>
      </c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26" t="s">
        <v>494</v>
      </c>
      <c r="B182" s="17">
        <v>45994.0</v>
      </c>
      <c r="C182" s="26" t="s">
        <v>495</v>
      </c>
      <c r="D182" s="26" t="s">
        <v>46</v>
      </c>
      <c r="E182" s="12">
        <v>45982.0</v>
      </c>
      <c r="F182" s="27">
        <v>7500.0</v>
      </c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26" t="s">
        <v>498</v>
      </c>
      <c r="B183" s="17">
        <v>45994.0</v>
      </c>
      <c r="C183" s="26" t="s">
        <v>499</v>
      </c>
      <c r="D183" s="26" t="s">
        <v>46</v>
      </c>
      <c r="E183" s="12">
        <v>45978.0</v>
      </c>
      <c r="F183" s="27">
        <v>8800.0</v>
      </c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26" t="s">
        <v>501</v>
      </c>
      <c r="B184" s="17">
        <v>45994.0</v>
      </c>
      <c r="C184" s="26" t="s">
        <v>502</v>
      </c>
      <c r="D184" s="26" t="s">
        <v>16</v>
      </c>
      <c r="E184" s="12">
        <v>45975.0</v>
      </c>
      <c r="F184" s="27">
        <v>8200.0</v>
      </c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26" t="s">
        <v>504</v>
      </c>
      <c r="B185" s="17">
        <v>45994.0</v>
      </c>
      <c r="C185" s="26" t="s">
        <v>506</v>
      </c>
      <c r="D185" s="26"/>
      <c r="E185" s="12"/>
      <c r="F185" s="27">
        <v>1150.0</v>
      </c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26" t="s">
        <v>508</v>
      </c>
      <c r="B186" s="17">
        <v>45994.0</v>
      </c>
      <c r="C186" s="26" t="s">
        <v>511</v>
      </c>
      <c r="D186" s="26" t="s">
        <v>46</v>
      </c>
      <c r="E186" s="12">
        <v>45984.0</v>
      </c>
      <c r="F186" s="27">
        <v>12400.0</v>
      </c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26" t="s">
        <v>513</v>
      </c>
      <c r="B187" s="17">
        <v>45994.0</v>
      </c>
      <c r="C187" s="26" t="s">
        <v>514</v>
      </c>
      <c r="D187" s="26" t="s">
        <v>35</v>
      </c>
      <c r="E187" s="12">
        <v>45984.0</v>
      </c>
      <c r="F187" s="27">
        <v>1100.0</v>
      </c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26" t="s">
        <v>515</v>
      </c>
      <c r="B188" s="17">
        <v>45994.0</v>
      </c>
      <c r="C188" s="26" t="s">
        <v>516</v>
      </c>
      <c r="D188" s="26" t="s">
        <v>43</v>
      </c>
      <c r="E188" s="12">
        <v>45989.0</v>
      </c>
      <c r="F188" s="27">
        <v>1540.0</v>
      </c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26" t="s">
        <v>517</v>
      </c>
      <c r="B189" s="17">
        <v>45994.0</v>
      </c>
      <c r="C189" s="26" t="s">
        <v>519</v>
      </c>
      <c r="D189" s="26" t="s">
        <v>43</v>
      </c>
      <c r="E189" s="12">
        <v>45994.0</v>
      </c>
      <c r="F189" s="27">
        <v>300.0</v>
      </c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26" t="s">
        <v>521</v>
      </c>
      <c r="B190" s="17">
        <v>45994.0</v>
      </c>
      <c r="C190" s="26" t="s">
        <v>522</v>
      </c>
      <c r="D190" s="26" t="s">
        <v>46</v>
      </c>
      <c r="E190" s="12">
        <v>45994.0</v>
      </c>
      <c r="F190" s="27">
        <v>23000.0</v>
      </c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26" t="s">
        <v>524</v>
      </c>
      <c r="B191" s="17">
        <v>45997.0</v>
      </c>
      <c r="C191" s="26" t="s">
        <v>526</v>
      </c>
      <c r="D191" s="26" t="s">
        <v>43</v>
      </c>
      <c r="E191" s="12">
        <v>45997.0</v>
      </c>
      <c r="F191" s="27">
        <v>4300.0</v>
      </c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26" t="s">
        <v>527</v>
      </c>
      <c r="B192" s="17">
        <v>46005.0</v>
      </c>
      <c r="C192" s="26" t="s">
        <v>529</v>
      </c>
      <c r="D192" s="26" t="s">
        <v>43</v>
      </c>
      <c r="E192" s="12">
        <v>46002.0</v>
      </c>
      <c r="F192" s="27">
        <v>12000.0</v>
      </c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26" t="s">
        <v>532</v>
      </c>
      <c r="B193" s="17">
        <v>46005.0</v>
      </c>
      <c r="C193" s="26" t="s">
        <v>533</v>
      </c>
      <c r="D193" s="26" t="s">
        <v>51</v>
      </c>
      <c r="E193" s="12">
        <v>45983.0</v>
      </c>
      <c r="F193" s="27">
        <v>25000.0</v>
      </c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26" t="s">
        <v>534</v>
      </c>
      <c r="B194" s="17">
        <v>46005.0</v>
      </c>
      <c r="C194" s="26" t="s">
        <v>535</v>
      </c>
      <c r="D194" s="26" t="s">
        <v>9</v>
      </c>
      <c r="E194" s="12" t="s">
        <v>536</v>
      </c>
      <c r="F194" s="27">
        <v>4000.0</v>
      </c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26" t="s">
        <v>537</v>
      </c>
      <c r="B195" s="17">
        <v>46005.0</v>
      </c>
      <c r="C195" s="26" t="s">
        <v>538</v>
      </c>
      <c r="D195" s="26" t="s">
        <v>9</v>
      </c>
      <c r="E195" s="12">
        <v>8500.0</v>
      </c>
      <c r="F195" s="27">
        <v>8500.0</v>
      </c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26" t="s">
        <v>540</v>
      </c>
      <c r="B196" s="17">
        <v>46005.0</v>
      </c>
      <c r="C196" s="26" t="s">
        <v>542</v>
      </c>
      <c r="D196" s="26" t="s">
        <v>16</v>
      </c>
      <c r="E196" s="12">
        <v>45980.0</v>
      </c>
      <c r="F196" s="27">
        <v>22200.0</v>
      </c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26" t="s">
        <v>543</v>
      </c>
      <c r="B197" s="17">
        <v>46005.0</v>
      </c>
      <c r="C197" s="26" t="s">
        <v>544</v>
      </c>
      <c r="D197" s="26" t="s">
        <v>43</v>
      </c>
      <c r="E197" s="12">
        <v>45969.0</v>
      </c>
      <c r="F197" s="27">
        <v>2250.0</v>
      </c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26" t="s">
        <v>546</v>
      </c>
      <c r="B198" s="17">
        <v>46005.0</v>
      </c>
      <c r="C198" s="26" t="s">
        <v>548</v>
      </c>
      <c r="D198" s="26" t="s">
        <v>16</v>
      </c>
      <c r="E198" s="12"/>
      <c r="F198" s="27">
        <v>7500.0</v>
      </c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26" t="s">
        <v>550</v>
      </c>
      <c r="B199" s="17">
        <v>46005.0</v>
      </c>
      <c r="C199" s="26" t="s">
        <v>551</v>
      </c>
      <c r="D199" s="26" t="s">
        <v>48</v>
      </c>
      <c r="E199" s="17">
        <v>45997.0</v>
      </c>
      <c r="F199" s="27">
        <v>21300.0</v>
      </c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26" t="s">
        <v>552</v>
      </c>
      <c r="B200" s="17">
        <v>46006.0</v>
      </c>
      <c r="C200" s="26" t="s">
        <v>553</v>
      </c>
      <c r="D200" s="26" t="s">
        <v>9</v>
      </c>
      <c r="E200" s="17">
        <v>46006.0</v>
      </c>
      <c r="F200" s="27">
        <v>4500.0</v>
      </c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26" t="s">
        <v>554</v>
      </c>
      <c r="B201" s="17">
        <v>46006.0</v>
      </c>
      <c r="C201" s="26" t="s">
        <v>555</v>
      </c>
      <c r="D201" s="26" t="s">
        <v>9</v>
      </c>
      <c r="E201" s="17">
        <v>46006.0</v>
      </c>
      <c r="F201" s="27">
        <v>11130.0</v>
      </c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26" t="s">
        <v>556</v>
      </c>
      <c r="B202" s="17">
        <v>46007.0</v>
      </c>
      <c r="C202" s="26" t="s">
        <v>557</v>
      </c>
      <c r="D202" s="26" t="s">
        <v>9</v>
      </c>
      <c r="E202" s="12">
        <v>46007.0</v>
      </c>
      <c r="F202" s="27">
        <v>1700.0</v>
      </c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26" t="s">
        <v>560</v>
      </c>
      <c r="B203" s="17">
        <v>46009.0</v>
      </c>
      <c r="C203" s="26" t="s">
        <v>561</v>
      </c>
      <c r="D203" s="26" t="s">
        <v>43</v>
      </c>
      <c r="E203" s="12">
        <v>46009.0</v>
      </c>
      <c r="F203" s="27">
        <v>920.0</v>
      </c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26" t="s">
        <v>562</v>
      </c>
      <c r="B204" s="17">
        <v>46010.0</v>
      </c>
      <c r="C204" s="26" t="s">
        <v>564</v>
      </c>
      <c r="D204" s="26" t="s">
        <v>9</v>
      </c>
      <c r="E204" s="12">
        <v>46011.0</v>
      </c>
      <c r="F204" s="27">
        <v>1300.0</v>
      </c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26" t="s">
        <v>566</v>
      </c>
      <c r="B205" s="17">
        <v>46011.0</v>
      </c>
      <c r="C205" s="26" t="s">
        <v>567</v>
      </c>
      <c r="D205" s="26" t="s">
        <v>9</v>
      </c>
      <c r="E205" s="12">
        <v>46011.0</v>
      </c>
      <c r="F205" s="27">
        <v>2500.0</v>
      </c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26" t="s">
        <v>571</v>
      </c>
      <c r="B206" s="54">
        <v>46027.0</v>
      </c>
      <c r="C206" s="26" t="s">
        <v>572</v>
      </c>
      <c r="D206" s="26"/>
      <c r="E206" s="12"/>
      <c r="F206" s="27">
        <v>11000.0</v>
      </c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26" t="s">
        <v>573</v>
      </c>
      <c r="B207" s="17">
        <v>46039.0</v>
      </c>
      <c r="C207" s="26" t="s">
        <v>574</v>
      </c>
      <c r="D207" s="26" t="s">
        <v>43</v>
      </c>
      <c r="E207" s="17">
        <v>46039.0</v>
      </c>
      <c r="F207" s="27">
        <v>10000.0</v>
      </c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26" t="s">
        <v>575</v>
      </c>
      <c r="B208" s="17">
        <v>46040.0</v>
      </c>
      <c r="C208" s="26" t="s">
        <v>576</v>
      </c>
      <c r="D208" s="26" t="s">
        <v>43</v>
      </c>
      <c r="E208" s="12">
        <v>46040.0</v>
      </c>
      <c r="F208" s="27">
        <v>21200.0</v>
      </c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26" t="s">
        <v>578</v>
      </c>
      <c r="B209" s="17">
        <v>46042.0</v>
      </c>
      <c r="C209" s="26" t="s">
        <v>580</v>
      </c>
      <c r="D209" s="26" t="s">
        <v>43</v>
      </c>
      <c r="E209" s="12">
        <v>46042.0</v>
      </c>
      <c r="F209" s="27">
        <v>1500.0</v>
      </c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26" t="s">
        <v>581</v>
      </c>
      <c r="B210" s="17">
        <v>46056.0</v>
      </c>
      <c r="C210" s="26" t="s">
        <v>582</v>
      </c>
      <c r="D210" s="26" t="s">
        <v>30</v>
      </c>
      <c r="E210" s="17">
        <v>46056.0</v>
      </c>
      <c r="F210" s="27">
        <v>2000.0</v>
      </c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26" t="s">
        <v>584</v>
      </c>
      <c r="B211" s="17">
        <v>46060.0</v>
      </c>
      <c r="C211" s="26" t="s">
        <v>585</v>
      </c>
      <c r="D211" s="26" t="s">
        <v>30</v>
      </c>
      <c r="E211" s="12">
        <v>45695.0</v>
      </c>
      <c r="F211" s="27">
        <v>13470.0</v>
      </c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26" t="s">
        <v>586</v>
      </c>
      <c r="B212" s="17">
        <v>46060.0</v>
      </c>
      <c r="C212" s="26" t="s">
        <v>589</v>
      </c>
      <c r="D212" s="26" t="s">
        <v>9</v>
      </c>
      <c r="E212" s="12">
        <v>45695.0</v>
      </c>
      <c r="F212" s="82">
        <v>8158.0</v>
      </c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26" t="s">
        <v>591</v>
      </c>
      <c r="B213" s="17">
        <v>46062.0</v>
      </c>
      <c r="C213" s="26" t="s">
        <v>592</v>
      </c>
      <c r="D213" s="26" t="s">
        <v>43</v>
      </c>
      <c r="E213" s="12">
        <v>45697.0</v>
      </c>
      <c r="F213" s="27">
        <v>8500.0</v>
      </c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26" t="s">
        <v>593</v>
      </c>
      <c r="B214" s="17">
        <v>46064.0</v>
      </c>
      <c r="C214" s="26" t="s">
        <v>594</v>
      </c>
      <c r="D214" s="26" t="s">
        <v>9</v>
      </c>
      <c r="E214" s="12">
        <v>46063.0</v>
      </c>
      <c r="F214" s="27">
        <v>10610.0</v>
      </c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26" t="s">
        <v>595</v>
      </c>
      <c r="B215" s="17">
        <v>46072.0</v>
      </c>
      <c r="C215" s="26" t="s">
        <v>596</v>
      </c>
      <c r="D215" s="26" t="s">
        <v>43</v>
      </c>
      <c r="E215" s="83" t="s">
        <v>153</v>
      </c>
      <c r="F215" s="27">
        <v>1000.0</v>
      </c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26" t="s">
        <v>599</v>
      </c>
      <c r="B216" s="17">
        <v>46068.0</v>
      </c>
      <c r="C216" s="26" t="s">
        <v>601</v>
      </c>
      <c r="D216" s="26" t="s">
        <v>27</v>
      </c>
      <c r="E216" s="12">
        <v>45703.0</v>
      </c>
      <c r="F216" s="27">
        <v>3300.0</v>
      </c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26" t="s">
        <v>602</v>
      </c>
      <c r="B217" s="17">
        <v>46069.0</v>
      </c>
      <c r="C217" s="26" t="s">
        <v>604</v>
      </c>
      <c r="D217" s="26" t="s">
        <v>27</v>
      </c>
      <c r="E217" s="12">
        <v>45704.0</v>
      </c>
      <c r="F217" s="27">
        <v>9000.0</v>
      </c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26" t="s">
        <v>606</v>
      </c>
      <c r="B218" s="17">
        <v>46068.0</v>
      </c>
      <c r="C218" s="26" t="s">
        <v>182</v>
      </c>
      <c r="D218" s="26" t="s">
        <v>27</v>
      </c>
      <c r="E218" s="17">
        <v>46068.0</v>
      </c>
      <c r="F218" s="27">
        <v>1100.0</v>
      </c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26" t="s">
        <v>608</v>
      </c>
      <c r="B219" s="17">
        <v>46070.0</v>
      </c>
      <c r="C219" s="26" t="s">
        <v>610</v>
      </c>
      <c r="D219" s="26" t="s">
        <v>43</v>
      </c>
      <c r="E219" s="12">
        <v>45698.0</v>
      </c>
      <c r="F219" s="27">
        <v>11170.0</v>
      </c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26" t="s">
        <v>612</v>
      </c>
      <c r="B220" s="17">
        <v>46074.0</v>
      </c>
      <c r="C220" s="26" t="s">
        <v>614</v>
      </c>
      <c r="D220" s="26" t="s">
        <v>27</v>
      </c>
      <c r="E220" s="17">
        <v>46074.0</v>
      </c>
      <c r="F220" s="27">
        <v>4020.0</v>
      </c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26" t="s">
        <v>615</v>
      </c>
      <c r="B221" s="17">
        <v>46081.0</v>
      </c>
      <c r="C221" s="26" t="s">
        <v>616</v>
      </c>
      <c r="D221" s="26" t="s">
        <v>27</v>
      </c>
      <c r="E221" s="12">
        <v>46081.0</v>
      </c>
      <c r="F221" s="27">
        <v>17291.0</v>
      </c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26" t="s">
        <v>617</v>
      </c>
      <c r="B222" s="17">
        <v>46081.0</v>
      </c>
      <c r="C222" s="26" t="s">
        <v>618</v>
      </c>
      <c r="D222" s="26" t="s">
        <v>27</v>
      </c>
      <c r="E222" s="17">
        <v>46083.0</v>
      </c>
      <c r="F222" s="27">
        <v>1000.0</v>
      </c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26" t="s">
        <v>619</v>
      </c>
      <c r="B223" s="17">
        <v>46082.0</v>
      </c>
      <c r="C223" s="26" t="s">
        <v>621</v>
      </c>
      <c r="D223" s="26" t="s">
        <v>27</v>
      </c>
      <c r="E223" s="12">
        <v>46082.0</v>
      </c>
      <c r="F223" s="27">
        <v>9000.0</v>
      </c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28">
        <v>46026.0</v>
      </c>
      <c r="B224" s="17">
        <v>46068.0</v>
      </c>
      <c r="C224" s="26" t="s">
        <v>622</v>
      </c>
      <c r="D224" s="26" t="s">
        <v>27</v>
      </c>
      <c r="E224" s="12">
        <v>46068.0</v>
      </c>
      <c r="F224" s="27">
        <v>2310.0</v>
      </c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28">
        <v>46057.0</v>
      </c>
      <c r="B225" s="17">
        <v>46083.0</v>
      </c>
      <c r="C225" s="26" t="s">
        <v>624</v>
      </c>
      <c r="D225" s="26" t="s">
        <v>27</v>
      </c>
      <c r="E225" s="17">
        <v>46083.0</v>
      </c>
      <c r="F225" s="27">
        <v>7658.0</v>
      </c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28">
        <v>46085.0</v>
      </c>
      <c r="B226" s="17">
        <v>46083.0</v>
      </c>
      <c r="C226" s="26" t="s">
        <v>625</v>
      </c>
      <c r="D226" s="26" t="s">
        <v>27</v>
      </c>
      <c r="E226" s="17">
        <v>46083.0</v>
      </c>
      <c r="F226" s="27">
        <v>6325.0</v>
      </c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28">
        <v>46116.0</v>
      </c>
      <c r="B227" s="17">
        <v>46100.0</v>
      </c>
      <c r="C227" s="26" t="s">
        <v>628</v>
      </c>
      <c r="D227" s="26" t="s">
        <v>43</v>
      </c>
      <c r="E227" s="83" t="s">
        <v>153</v>
      </c>
      <c r="F227" s="27">
        <v>1000.0</v>
      </c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28">
        <v>46146.0</v>
      </c>
      <c r="B228" s="17">
        <v>46101.0</v>
      </c>
      <c r="C228" s="26" t="s">
        <v>630</v>
      </c>
      <c r="D228" s="26" t="s">
        <v>43</v>
      </c>
      <c r="E228" s="12">
        <v>45736.0</v>
      </c>
      <c r="F228" s="27">
        <v>1000.0</v>
      </c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28">
        <v>46177.0</v>
      </c>
      <c r="B229" s="17">
        <v>46103.0</v>
      </c>
      <c r="C229" s="26" t="s">
        <v>633</v>
      </c>
      <c r="D229" s="26" t="s">
        <v>9</v>
      </c>
      <c r="E229" s="12">
        <v>46103.0</v>
      </c>
      <c r="F229" s="82">
        <v>113700.0</v>
      </c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28">
        <v>46207.0</v>
      </c>
      <c r="B230" s="17">
        <v>46103.0</v>
      </c>
      <c r="C230" s="26" t="s">
        <v>636</v>
      </c>
      <c r="D230" s="26" t="s">
        <v>43</v>
      </c>
      <c r="E230" s="12">
        <v>46102.0</v>
      </c>
      <c r="F230" s="27">
        <v>580.0</v>
      </c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28">
        <v>46238.0</v>
      </c>
      <c r="B231" s="17">
        <v>46103.0</v>
      </c>
      <c r="C231" s="26" t="s">
        <v>638</v>
      </c>
      <c r="D231" s="26" t="s">
        <v>9</v>
      </c>
      <c r="E231" s="12">
        <v>46083.0</v>
      </c>
      <c r="F231" s="27">
        <v>2270.0</v>
      </c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28">
        <v>46269.0</v>
      </c>
      <c r="B232" s="17">
        <v>46126.0</v>
      </c>
      <c r="C232" s="26" t="s">
        <v>640</v>
      </c>
      <c r="D232" s="26" t="s">
        <v>9</v>
      </c>
      <c r="E232" s="17">
        <v>46126.0</v>
      </c>
      <c r="F232" s="27">
        <v>7920.0</v>
      </c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28">
        <v>46299.0</v>
      </c>
      <c r="B233" s="17">
        <v>46126.0</v>
      </c>
      <c r="C233" s="26" t="s">
        <v>641</v>
      </c>
      <c r="D233" s="26" t="s">
        <v>9</v>
      </c>
      <c r="E233" s="17">
        <v>46101.0</v>
      </c>
      <c r="F233" s="27">
        <v>5690.0</v>
      </c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28">
        <v>46330.0</v>
      </c>
      <c r="B234" s="17">
        <v>46126.0</v>
      </c>
      <c r="C234" s="26" t="s">
        <v>645</v>
      </c>
      <c r="D234" s="26" t="s">
        <v>9</v>
      </c>
      <c r="E234" s="12">
        <v>46083.0</v>
      </c>
      <c r="F234" s="27">
        <v>4130.0</v>
      </c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28">
        <v>46360.0</v>
      </c>
      <c r="B235" s="17">
        <v>46126.0</v>
      </c>
      <c r="C235" s="26" t="s">
        <v>647</v>
      </c>
      <c r="D235" s="26" t="s">
        <v>30</v>
      </c>
      <c r="E235" s="12">
        <v>46017.0</v>
      </c>
      <c r="F235" s="27">
        <v>12700.0</v>
      </c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26" t="s">
        <v>648</v>
      </c>
      <c r="B236" s="17">
        <v>46126.0</v>
      </c>
      <c r="C236" s="26" t="s">
        <v>649</v>
      </c>
      <c r="D236" s="26" t="s">
        <v>27</v>
      </c>
      <c r="E236" s="12">
        <v>46110.0</v>
      </c>
      <c r="F236" s="27">
        <v>3810.0</v>
      </c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26" t="s">
        <v>650</v>
      </c>
      <c r="B237" s="17">
        <v>46126.0</v>
      </c>
      <c r="C237" s="26" t="s">
        <v>652</v>
      </c>
      <c r="D237" s="26" t="s">
        <v>27</v>
      </c>
      <c r="E237" s="12">
        <v>46110.0</v>
      </c>
      <c r="F237" s="27">
        <v>17110.0</v>
      </c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26" t="s">
        <v>654</v>
      </c>
      <c r="B238" s="17">
        <v>46126.0</v>
      </c>
      <c r="C238" s="26" t="s">
        <v>655</v>
      </c>
      <c r="D238" s="26" t="s">
        <v>27</v>
      </c>
      <c r="E238" s="12">
        <v>46110.0</v>
      </c>
      <c r="F238" s="27">
        <v>4550.0</v>
      </c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26" t="s">
        <v>658</v>
      </c>
      <c r="B239" s="17">
        <v>46126.0</v>
      </c>
      <c r="C239" s="26" t="s">
        <v>659</v>
      </c>
      <c r="D239" s="26" t="s">
        <v>43</v>
      </c>
      <c r="E239" s="12" t="s">
        <v>153</v>
      </c>
      <c r="F239" s="27">
        <v>4800.0</v>
      </c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85" t="s">
        <v>660</v>
      </c>
      <c r="B240" s="17">
        <v>46138.0</v>
      </c>
      <c r="C240" s="85" t="s">
        <v>661</v>
      </c>
      <c r="D240" s="85" t="s">
        <v>9</v>
      </c>
      <c r="E240" s="12">
        <v>46138.0</v>
      </c>
      <c r="F240" s="27">
        <v>15000.0</v>
      </c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85" t="s">
        <v>663</v>
      </c>
      <c r="B241" s="17">
        <v>46149.0</v>
      </c>
      <c r="C241" s="26" t="s">
        <v>664</v>
      </c>
      <c r="D241" s="12" t="s">
        <v>416</v>
      </c>
      <c r="E241" s="83" t="s">
        <v>153</v>
      </c>
      <c r="F241" s="27">
        <v>3000.0</v>
      </c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85" t="s">
        <v>666</v>
      </c>
      <c r="B242" s="17">
        <v>46149.0</v>
      </c>
      <c r="C242" s="26" t="s">
        <v>667</v>
      </c>
      <c r="D242" s="12" t="s">
        <v>43</v>
      </c>
      <c r="E242" s="12">
        <v>46149.0</v>
      </c>
      <c r="F242" s="27">
        <v>2000.0</v>
      </c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85" t="s">
        <v>669</v>
      </c>
      <c r="B243" s="17">
        <v>46149.0</v>
      </c>
      <c r="C243" s="26" t="s">
        <v>670</v>
      </c>
      <c r="D243" s="12" t="s">
        <v>27</v>
      </c>
      <c r="E243" s="12">
        <v>46149.0</v>
      </c>
      <c r="F243" s="27">
        <v>20000.0</v>
      </c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85" t="s">
        <v>673</v>
      </c>
      <c r="B244" s="17">
        <v>46149.0</v>
      </c>
      <c r="C244" s="26" t="s">
        <v>675</v>
      </c>
      <c r="D244" s="12" t="s">
        <v>43</v>
      </c>
      <c r="E244" s="83" t="s">
        <v>153</v>
      </c>
      <c r="F244" s="27">
        <v>2400.0</v>
      </c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86" t="s">
        <v>766</v>
      </c>
      <c r="B245" s="17">
        <v>46172.0</v>
      </c>
      <c r="C245" s="86" t="s">
        <v>910</v>
      </c>
      <c r="D245" s="83" t="s">
        <v>27</v>
      </c>
      <c r="E245" s="12" t="s">
        <v>153</v>
      </c>
      <c r="F245" s="87">
        <v>3569.0</v>
      </c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86" t="s">
        <v>769</v>
      </c>
      <c r="B246" s="17">
        <v>46172.0</v>
      </c>
      <c r="C246" s="86" t="s">
        <v>912</v>
      </c>
      <c r="D246" s="86" t="s">
        <v>27</v>
      </c>
      <c r="E246" s="12">
        <v>46172.0</v>
      </c>
      <c r="F246" s="87">
        <v>2100.0</v>
      </c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85" t="s">
        <v>770</v>
      </c>
      <c r="B247" s="17">
        <v>46172.0</v>
      </c>
      <c r="C247" s="85" t="s">
        <v>914</v>
      </c>
      <c r="D247" s="85" t="s">
        <v>43</v>
      </c>
      <c r="E247" s="12" t="s">
        <v>153</v>
      </c>
      <c r="F247" s="88">
        <v>1100.0</v>
      </c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85" t="s">
        <v>773</v>
      </c>
      <c r="B248" s="17">
        <v>46172.0</v>
      </c>
      <c r="C248" s="17" t="s">
        <v>917</v>
      </c>
      <c r="D248" s="85" t="s">
        <v>27</v>
      </c>
      <c r="E248" s="12">
        <v>46172.0</v>
      </c>
      <c r="F248" s="88">
        <v>1060.0</v>
      </c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85" t="s">
        <v>776</v>
      </c>
      <c r="B249" s="17">
        <v>46184.0</v>
      </c>
      <c r="C249" s="17" t="s">
        <v>920</v>
      </c>
      <c r="D249" s="85" t="s">
        <v>27</v>
      </c>
      <c r="E249" s="85" t="s">
        <v>153</v>
      </c>
      <c r="F249" s="88">
        <v>9260.0</v>
      </c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85" t="s">
        <v>778</v>
      </c>
      <c r="B250" s="17">
        <v>46185.0</v>
      </c>
      <c r="C250" s="17" t="s">
        <v>923</v>
      </c>
      <c r="D250" s="85" t="s">
        <v>43</v>
      </c>
      <c r="E250" s="85" t="s">
        <v>925</v>
      </c>
      <c r="F250" s="88">
        <v>1200.0</v>
      </c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85" t="s">
        <v>781</v>
      </c>
      <c r="B251" s="17">
        <v>46185.0</v>
      </c>
      <c r="C251" s="85" t="s">
        <v>927</v>
      </c>
      <c r="D251" s="85" t="s">
        <v>27</v>
      </c>
      <c r="E251" s="12">
        <v>46172.0</v>
      </c>
      <c r="F251" s="88">
        <v>13200.0</v>
      </c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85" t="s">
        <v>783</v>
      </c>
      <c r="B252" s="17">
        <v>46187.0</v>
      </c>
      <c r="C252" s="85" t="s">
        <v>929</v>
      </c>
      <c r="D252" s="85" t="s">
        <v>27</v>
      </c>
      <c r="E252" s="85" t="s">
        <v>153</v>
      </c>
      <c r="F252" s="88">
        <v>8460.0</v>
      </c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85" t="s">
        <v>785</v>
      </c>
      <c r="B253" s="17">
        <v>46194.0</v>
      </c>
      <c r="C253" s="85" t="s">
        <v>931</v>
      </c>
      <c r="D253" s="85" t="s">
        <v>43</v>
      </c>
      <c r="E253" s="85" t="s">
        <v>153</v>
      </c>
      <c r="F253" s="88">
        <v>3000.0</v>
      </c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85" t="s">
        <v>787</v>
      </c>
      <c r="B254" s="17">
        <v>46194.0</v>
      </c>
      <c r="C254" s="85" t="s">
        <v>935</v>
      </c>
      <c r="D254" s="85" t="s">
        <v>43</v>
      </c>
      <c r="E254" s="85" t="s">
        <v>153</v>
      </c>
      <c r="F254" s="88">
        <v>1500.0</v>
      </c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85" t="s">
        <v>790</v>
      </c>
      <c r="B255" s="17">
        <v>46205.0</v>
      </c>
      <c r="C255" s="85" t="s">
        <v>938</v>
      </c>
      <c r="D255" s="85" t="s">
        <v>27</v>
      </c>
      <c r="E255" s="85" t="s">
        <v>153</v>
      </c>
      <c r="F255" s="88">
        <v>3100.0</v>
      </c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85" t="s">
        <v>793</v>
      </c>
      <c r="B256" s="17">
        <v>46205.0</v>
      </c>
      <c r="C256" s="85" t="s">
        <v>940</v>
      </c>
      <c r="D256" s="85" t="s">
        <v>43</v>
      </c>
      <c r="E256" s="26"/>
      <c r="F256" s="88">
        <v>1476.0</v>
      </c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85" t="s">
        <v>798</v>
      </c>
      <c r="B257" s="17">
        <v>46209.0</v>
      </c>
      <c r="C257" s="85" t="s">
        <v>944</v>
      </c>
      <c r="D257" s="85" t="s">
        <v>43</v>
      </c>
      <c r="E257" s="85" t="s">
        <v>153</v>
      </c>
      <c r="F257" s="88">
        <v>1500.0</v>
      </c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85" t="s">
        <v>796</v>
      </c>
      <c r="B258" s="17">
        <v>46211.0</v>
      </c>
      <c r="C258" s="85" t="s">
        <v>947</v>
      </c>
      <c r="D258" s="85" t="s">
        <v>43</v>
      </c>
      <c r="E258" s="85" t="s">
        <v>153</v>
      </c>
      <c r="F258" s="88">
        <v>500.0</v>
      </c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29"/>
      <c r="B259" s="89"/>
      <c r="C259" s="29"/>
      <c r="D259" s="29"/>
      <c r="E259" s="29"/>
      <c r="F259" s="89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29"/>
      <c r="B260" s="89"/>
      <c r="C260" s="29"/>
      <c r="D260" s="29"/>
      <c r="E260" s="29"/>
      <c r="F260" s="89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29"/>
      <c r="B261" s="89"/>
      <c r="C261" s="29"/>
      <c r="D261" s="29"/>
      <c r="E261" s="29"/>
      <c r="F261" s="89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29"/>
      <c r="B262" s="89"/>
      <c r="C262" s="29"/>
      <c r="D262" s="29"/>
      <c r="E262" s="29"/>
      <c r="F262" s="89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29"/>
      <c r="B263" s="89"/>
      <c r="C263" s="29"/>
      <c r="D263" s="29"/>
      <c r="E263" s="29"/>
      <c r="F263" s="89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29"/>
      <c r="B264" s="89"/>
      <c r="C264" s="29"/>
      <c r="D264" s="29"/>
      <c r="E264" s="29"/>
      <c r="F264" s="89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29"/>
      <c r="B265" s="89"/>
      <c r="C265" s="29"/>
      <c r="D265" s="29"/>
      <c r="E265" s="29"/>
      <c r="F265" s="89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29"/>
      <c r="B266" s="89"/>
      <c r="C266" s="29"/>
      <c r="D266" s="29"/>
      <c r="E266" s="29"/>
      <c r="F266" s="89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29"/>
      <c r="B267" s="89"/>
      <c r="C267" s="29"/>
      <c r="D267" s="29"/>
      <c r="E267" s="29"/>
      <c r="F267" s="89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29"/>
      <c r="B268" s="89"/>
      <c r="C268" s="29"/>
      <c r="D268" s="29"/>
      <c r="E268" s="29"/>
      <c r="F268" s="89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29"/>
      <c r="B269" s="89"/>
      <c r="C269" s="29"/>
      <c r="D269" s="29"/>
      <c r="E269" s="29"/>
      <c r="F269" s="89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29"/>
      <c r="B270" s="89"/>
      <c r="C270" s="29"/>
      <c r="D270" s="29"/>
      <c r="E270" s="29"/>
      <c r="F270" s="89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29"/>
      <c r="B271" s="89"/>
      <c r="C271" s="29"/>
      <c r="D271" s="29"/>
      <c r="E271" s="29"/>
      <c r="F271" s="89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29"/>
      <c r="B272" s="89"/>
      <c r="C272" s="29"/>
      <c r="D272" s="29"/>
      <c r="E272" s="29"/>
      <c r="F272" s="89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29"/>
      <c r="B273" s="89"/>
      <c r="C273" s="29"/>
      <c r="D273" s="29"/>
      <c r="E273" s="29"/>
      <c r="F273" s="89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29"/>
      <c r="B274" s="89"/>
      <c r="C274" s="29"/>
      <c r="D274" s="29"/>
      <c r="E274" s="29"/>
      <c r="F274" s="89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29"/>
      <c r="B275" s="89"/>
      <c r="C275" s="29"/>
      <c r="D275" s="29"/>
      <c r="E275" s="29"/>
      <c r="F275" s="89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29"/>
      <c r="B276" s="89"/>
      <c r="C276" s="29"/>
      <c r="D276" s="29"/>
      <c r="E276" s="29"/>
      <c r="F276" s="89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29"/>
      <c r="B277" s="89"/>
      <c r="C277" s="29"/>
      <c r="D277" s="29"/>
      <c r="E277" s="29"/>
      <c r="F277" s="89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29"/>
      <c r="B278" s="89"/>
      <c r="C278" s="29"/>
      <c r="D278" s="29"/>
      <c r="E278" s="29"/>
      <c r="F278" s="89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29"/>
      <c r="B279" s="89"/>
      <c r="C279" s="29"/>
      <c r="D279" s="29"/>
      <c r="E279" s="29"/>
      <c r="F279" s="89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29"/>
      <c r="B280" s="89"/>
      <c r="C280" s="29"/>
      <c r="D280" s="29"/>
      <c r="E280" s="29"/>
      <c r="F280" s="89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29"/>
      <c r="B281" s="89"/>
      <c r="C281" s="29"/>
      <c r="D281" s="29"/>
      <c r="E281" s="29"/>
      <c r="F281" s="89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29"/>
      <c r="B282" s="89"/>
      <c r="C282" s="29"/>
      <c r="D282" s="29"/>
      <c r="E282" s="29"/>
      <c r="F282" s="89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29"/>
      <c r="B283" s="89"/>
      <c r="C283" s="29"/>
      <c r="D283" s="29"/>
      <c r="E283" s="29"/>
      <c r="F283" s="89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29"/>
      <c r="B284" s="89"/>
      <c r="C284" s="29"/>
      <c r="D284" s="29"/>
      <c r="E284" s="29"/>
      <c r="F284" s="89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29"/>
      <c r="B285" s="89"/>
      <c r="C285" s="29"/>
      <c r="D285" s="29"/>
      <c r="E285" s="29"/>
      <c r="F285" s="89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29"/>
      <c r="B286" s="89"/>
      <c r="C286" s="29"/>
      <c r="D286" s="29"/>
      <c r="E286" s="29"/>
      <c r="F286" s="89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29"/>
      <c r="B287" s="89"/>
      <c r="C287" s="29"/>
      <c r="D287" s="29"/>
      <c r="E287" s="29"/>
      <c r="F287" s="89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29"/>
      <c r="B288" s="89"/>
      <c r="C288" s="29"/>
      <c r="D288" s="29"/>
      <c r="E288" s="29"/>
      <c r="F288" s="89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29"/>
      <c r="B289" s="89"/>
      <c r="C289" s="29"/>
      <c r="D289" s="29"/>
      <c r="E289" s="29"/>
      <c r="F289" s="89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29"/>
      <c r="B290" s="89"/>
      <c r="C290" s="29"/>
      <c r="D290" s="29"/>
      <c r="E290" s="29"/>
      <c r="F290" s="89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29"/>
      <c r="B291" s="89"/>
      <c r="C291" s="29"/>
      <c r="D291" s="29"/>
      <c r="E291" s="29"/>
      <c r="F291" s="89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29"/>
      <c r="B292" s="89"/>
      <c r="C292" s="29"/>
      <c r="D292" s="29"/>
      <c r="E292" s="29"/>
      <c r="F292" s="89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29"/>
      <c r="B293" s="89"/>
      <c r="C293" s="29"/>
      <c r="D293" s="29"/>
      <c r="E293" s="29"/>
      <c r="F293" s="89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29"/>
      <c r="B294" s="89"/>
      <c r="C294" s="29"/>
      <c r="D294" s="29"/>
      <c r="E294" s="29"/>
      <c r="F294" s="89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29"/>
      <c r="B295" s="89"/>
      <c r="C295" s="29"/>
      <c r="D295" s="29"/>
      <c r="E295" s="29"/>
      <c r="F295" s="89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29"/>
      <c r="B296" s="89"/>
      <c r="C296" s="29"/>
      <c r="D296" s="29"/>
      <c r="E296" s="29"/>
      <c r="F296" s="89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29"/>
      <c r="B297" s="89"/>
      <c r="C297" s="29"/>
      <c r="D297" s="29"/>
      <c r="E297" s="29"/>
      <c r="F297" s="89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29"/>
      <c r="B298" s="89"/>
      <c r="C298" s="29"/>
      <c r="D298" s="29"/>
      <c r="E298" s="29"/>
      <c r="F298" s="89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29"/>
      <c r="B299" s="89"/>
      <c r="C299" s="29"/>
      <c r="D299" s="29"/>
      <c r="E299" s="29"/>
      <c r="F299" s="89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29"/>
      <c r="B300" s="89"/>
      <c r="C300" s="29"/>
      <c r="D300" s="29"/>
      <c r="E300" s="29"/>
      <c r="F300" s="89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29"/>
      <c r="B301" s="89"/>
      <c r="C301" s="29"/>
      <c r="D301" s="29"/>
      <c r="E301" s="29"/>
      <c r="F301" s="89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29"/>
      <c r="B302" s="89"/>
      <c r="C302" s="29"/>
      <c r="D302" s="29"/>
      <c r="E302" s="29"/>
      <c r="F302" s="89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29"/>
      <c r="B303" s="89"/>
      <c r="C303" s="29"/>
      <c r="D303" s="29"/>
      <c r="E303" s="29"/>
      <c r="F303" s="89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29"/>
      <c r="B304" s="89"/>
      <c r="C304" s="29"/>
      <c r="D304" s="29"/>
      <c r="E304" s="29"/>
      <c r="F304" s="89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29"/>
      <c r="B305" s="89"/>
      <c r="C305" s="29"/>
      <c r="D305" s="29"/>
      <c r="E305" s="29"/>
      <c r="F305" s="89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29"/>
      <c r="B306" s="89"/>
      <c r="C306" s="29"/>
      <c r="D306" s="29"/>
      <c r="E306" s="29"/>
      <c r="F306" s="89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29"/>
      <c r="B307" s="89"/>
      <c r="C307" s="29"/>
      <c r="D307" s="29"/>
      <c r="E307" s="29"/>
      <c r="F307" s="89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29"/>
      <c r="B308" s="89"/>
      <c r="C308" s="29"/>
      <c r="D308" s="29"/>
      <c r="E308" s="29"/>
      <c r="F308" s="89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29"/>
      <c r="B309" s="89"/>
      <c r="C309" s="29"/>
      <c r="D309" s="29"/>
      <c r="E309" s="29"/>
      <c r="F309" s="89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29"/>
      <c r="B310" s="89"/>
      <c r="C310" s="29"/>
      <c r="D310" s="29"/>
      <c r="E310" s="29"/>
      <c r="F310" s="89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29"/>
      <c r="B311" s="89"/>
      <c r="C311" s="29"/>
      <c r="D311" s="29"/>
      <c r="E311" s="29"/>
      <c r="F311" s="89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29"/>
      <c r="B312" s="89"/>
      <c r="C312" s="29"/>
      <c r="D312" s="29"/>
      <c r="E312" s="29"/>
      <c r="F312" s="89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29"/>
      <c r="B313" s="89"/>
      <c r="C313" s="29"/>
      <c r="D313" s="29"/>
      <c r="E313" s="29"/>
      <c r="F313" s="89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29"/>
      <c r="B314" s="89"/>
      <c r="C314" s="29"/>
      <c r="D314" s="29"/>
      <c r="E314" s="29"/>
      <c r="F314" s="89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29"/>
      <c r="B315" s="89"/>
      <c r="C315" s="29"/>
      <c r="D315" s="29"/>
      <c r="E315" s="29"/>
      <c r="F315" s="89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29"/>
      <c r="B316" s="89"/>
      <c r="C316" s="29"/>
      <c r="D316" s="29"/>
      <c r="E316" s="29"/>
      <c r="F316" s="89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29"/>
      <c r="B317" s="89"/>
      <c r="C317" s="29"/>
      <c r="D317" s="29"/>
      <c r="E317" s="29"/>
      <c r="F317" s="89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29"/>
      <c r="B318" s="89"/>
      <c r="C318" s="29"/>
      <c r="D318" s="29"/>
      <c r="E318" s="29"/>
      <c r="F318" s="89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29"/>
      <c r="B319" s="89"/>
      <c r="C319" s="29"/>
      <c r="D319" s="29"/>
      <c r="E319" s="29"/>
      <c r="F319" s="89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29"/>
      <c r="B320" s="89"/>
      <c r="C320" s="29"/>
      <c r="D320" s="29"/>
      <c r="E320" s="29"/>
      <c r="F320" s="89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29"/>
      <c r="B321" s="89"/>
      <c r="C321" s="29"/>
      <c r="D321" s="29"/>
      <c r="E321" s="29"/>
      <c r="F321" s="89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29"/>
      <c r="B322" s="89"/>
      <c r="C322" s="29"/>
      <c r="D322" s="29"/>
      <c r="E322" s="29"/>
      <c r="F322" s="89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29"/>
      <c r="B323" s="89"/>
      <c r="C323" s="29"/>
      <c r="D323" s="29"/>
      <c r="E323" s="29"/>
      <c r="F323" s="89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29"/>
      <c r="B324" s="89"/>
      <c r="C324" s="29"/>
      <c r="D324" s="29"/>
      <c r="E324" s="29"/>
      <c r="F324" s="89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29"/>
      <c r="B325" s="89"/>
      <c r="C325" s="29"/>
      <c r="D325" s="29"/>
      <c r="E325" s="29"/>
      <c r="F325" s="89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29"/>
      <c r="B326" s="89"/>
      <c r="C326" s="29"/>
      <c r="D326" s="29"/>
      <c r="E326" s="29"/>
      <c r="F326" s="89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29"/>
      <c r="B327" s="89"/>
      <c r="C327" s="29"/>
      <c r="D327" s="29"/>
      <c r="E327" s="29"/>
      <c r="F327" s="89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29"/>
      <c r="B328" s="89"/>
      <c r="C328" s="29"/>
      <c r="D328" s="29"/>
      <c r="E328" s="29"/>
      <c r="F328" s="89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29"/>
      <c r="B329" s="89"/>
      <c r="C329" s="29"/>
      <c r="D329" s="29"/>
      <c r="E329" s="29"/>
      <c r="F329" s="89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29"/>
      <c r="B330" s="89"/>
      <c r="C330" s="29"/>
      <c r="D330" s="29"/>
      <c r="E330" s="29"/>
      <c r="F330" s="89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29"/>
      <c r="B331" s="89"/>
      <c r="C331" s="29"/>
      <c r="D331" s="29"/>
      <c r="E331" s="29"/>
      <c r="F331" s="89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29"/>
      <c r="B332" s="89"/>
      <c r="C332" s="29"/>
      <c r="D332" s="29"/>
      <c r="E332" s="29"/>
      <c r="F332" s="89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29"/>
      <c r="B333" s="89"/>
      <c r="C333" s="29"/>
      <c r="D333" s="29"/>
      <c r="E333" s="29"/>
      <c r="F333" s="89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29"/>
      <c r="B334" s="89"/>
      <c r="C334" s="29"/>
      <c r="D334" s="29"/>
      <c r="E334" s="29"/>
      <c r="F334" s="89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29"/>
      <c r="B335" s="89"/>
      <c r="C335" s="29"/>
      <c r="D335" s="29"/>
      <c r="E335" s="29"/>
      <c r="F335" s="89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29"/>
      <c r="B336" s="89"/>
      <c r="C336" s="29"/>
      <c r="D336" s="29"/>
      <c r="E336" s="29"/>
      <c r="F336" s="89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29"/>
      <c r="B337" s="89"/>
      <c r="C337" s="29"/>
      <c r="D337" s="29"/>
      <c r="E337" s="29"/>
      <c r="F337" s="89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29"/>
      <c r="B338" s="89"/>
      <c r="C338" s="29"/>
      <c r="D338" s="29"/>
      <c r="E338" s="29"/>
      <c r="F338" s="89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29"/>
      <c r="B339" s="89"/>
      <c r="C339" s="29"/>
      <c r="D339" s="29"/>
      <c r="E339" s="29"/>
      <c r="F339" s="89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29"/>
      <c r="B340" s="89"/>
      <c r="C340" s="29"/>
      <c r="D340" s="29"/>
      <c r="E340" s="29"/>
      <c r="F340" s="89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29"/>
      <c r="B341" s="89"/>
      <c r="C341" s="29"/>
      <c r="D341" s="29"/>
      <c r="E341" s="29"/>
      <c r="F341" s="89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29"/>
      <c r="B342" s="89"/>
      <c r="C342" s="29"/>
      <c r="D342" s="29"/>
      <c r="E342" s="29"/>
      <c r="F342" s="89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29"/>
      <c r="B343" s="89"/>
      <c r="C343" s="29"/>
      <c r="D343" s="29"/>
      <c r="E343" s="29"/>
      <c r="F343" s="89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29"/>
      <c r="B344" s="89"/>
      <c r="C344" s="29"/>
      <c r="D344" s="29"/>
      <c r="E344" s="29"/>
      <c r="F344" s="89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29"/>
      <c r="B345" s="89"/>
      <c r="C345" s="29"/>
      <c r="D345" s="29"/>
      <c r="E345" s="29"/>
      <c r="F345" s="89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29"/>
      <c r="B346" s="89"/>
      <c r="C346" s="29"/>
      <c r="D346" s="29"/>
      <c r="E346" s="29"/>
      <c r="F346" s="89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29"/>
      <c r="B347" s="89"/>
      <c r="C347" s="29"/>
      <c r="D347" s="29"/>
      <c r="E347" s="29"/>
      <c r="F347" s="89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29"/>
      <c r="B348" s="89"/>
      <c r="C348" s="29"/>
      <c r="D348" s="29"/>
      <c r="E348" s="29"/>
      <c r="F348" s="89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29"/>
      <c r="B349" s="89"/>
      <c r="C349" s="29"/>
      <c r="D349" s="29"/>
      <c r="E349" s="29"/>
      <c r="F349" s="89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29"/>
      <c r="B350" s="89"/>
      <c r="C350" s="29"/>
      <c r="D350" s="29"/>
      <c r="E350" s="29"/>
      <c r="F350" s="89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29"/>
      <c r="B351" s="89"/>
      <c r="C351" s="29"/>
      <c r="D351" s="29"/>
      <c r="E351" s="29"/>
      <c r="F351" s="89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29"/>
      <c r="B352" s="89"/>
      <c r="C352" s="29"/>
      <c r="D352" s="29"/>
      <c r="E352" s="29"/>
      <c r="F352" s="89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29"/>
      <c r="B353" s="89"/>
      <c r="C353" s="29"/>
      <c r="D353" s="29"/>
      <c r="E353" s="29"/>
      <c r="F353" s="89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29"/>
      <c r="B354" s="89"/>
      <c r="C354" s="29"/>
      <c r="D354" s="29"/>
      <c r="E354" s="29"/>
      <c r="F354" s="89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29"/>
      <c r="B355" s="89"/>
      <c r="C355" s="29"/>
      <c r="D355" s="29"/>
      <c r="E355" s="29"/>
      <c r="F355" s="89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29"/>
      <c r="B356" s="89"/>
      <c r="C356" s="29"/>
      <c r="D356" s="29"/>
      <c r="E356" s="29"/>
      <c r="F356" s="89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29"/>
      <c r="B357" s="89"/>
      <c r="C357" s="29"/>
      <c r="D357" s="29"/>
      <c r="E357" s="29"/>
      <c r="F357" s="89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29"/>
      <c r="B358" s="89"/>
      <c r="C358" s="29"/>
      <c r="D358" s="29"/>
      <c r="E358" s="29"/>
      <c r="F358" s="89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29"/>
      <c r="B359" s="89"/>
      <c r="C359" s="29"/>
      <c r="D359" s="29"/>
      <c r="E359" s="29"/>
      <c r="F359" s="89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29"/>
      <c r="B360" s="89"/>
      <c r="C360" s="29"/>
      <c r="D360" s="29"/>
      <c r="E360" s="29"/>
      <c r="F360" s="89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29"/>
      <c r="B361" s="89"/>
      <c r="C361" s="29"/>
      <c r="D361" s="29"/>
      <c r="E361" s="29"/>
      <c r="F361" s="89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29"/>
      <c r="B362" s="89"/>
      <c r="C362" s="29"/>
      <c r="D362" s="29"/>
      <c r="E362" s="29"/>
      <c r="F362" s="89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29"/>
      <c r="B363" s="89"/>
      <c r="C363" s="29"/>
      <c r="D363" s="29"/>
      <c r="E363" s="29"/>
      <c r="F363" s="89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29"/>
      <c r="B364" s="89"/>
      <c r="C364" s="29"/>
      <c r="D364" s="29"/>
      <c r="E364" s="29"/>
      <c r="F364" s="89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29"/>
      <c r="B365" s="89"/>
      <c r="C365" s="29"/>
      <c r="D365" s="29"/>
      <c r="E365" s="29"/>
      <c r="F365" s="89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29"/>
      <c r="B366" s="89"/>
      <c r="C366" s="29"/>
      <c r="D366" s="29"/>
      <c r="E366" s="29"/>
      <c r="F366" s="89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29"/>
      <c r="B367" s="89"/>
      <c r="C367" s="29"/>
      <c r="D367" s="29"/>
      <c r="E367" s="29"/>
      <c r="F367" s="89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29"/>
      <c r="B368" s="89"/>
      <c r="C368" s="29"/>
      <c r="D368" s="29"/>
      <c r="E368" s="29"/>
      <c r="F368" s="89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29"/>
      <c r="B369" s="89"/>
      <c r="C369" s="29"/>
      <c r="D369" s="29"/>
      <c r="E369" s="29"/>
      <c r="F369" s="89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29"/>
      <c r="B370" s="89"/>
      <c r="C370" s="29"/>
      <c r="D370" s="29"/>
      <c r="E370" s="29"/>
      <c r="F370" s="89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29"/>
      <c r="B371" s="89"/>
      <c r="C371" s="29"/>
      <c r="D371" s="29"/>
      <c r="E371" s="29"/>
      <c r="F371" s="89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29"/>
      <c r="B372" s="89"/>
      <c r="C372" s="29"/>
      <c r="D372" s="29"/>
      <c r="E372" s="29"/>
      <c r="F372" s="89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29"/>
      <c r="B373" s="89"/>
      <c r="C373" s="29"/>
      <c r="D373" s="29"/>
      <c r="E373" s="29"/>
      <c r="F373" s="89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29"/>
      <c r="B374" s="89"/>
      <c r="C374" s="29"/>
      <c r="D374" s="29"/>
      <c r="E374" s="29"/>
      <c r="F374" s="89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29"/>
      <c r="B375" s="89"/>
      <c r="C375" s="29"/>
      <c r="D375" s="29"/>
      <c r="E375" s="29"/>
      <c r="F375" s="89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29"/>
      <c r="B376" s="89"/>
      <c r="C376" s="29"/>
      <c r="D376" s="29"/>
      <c r="E376" s="29"/>
      <c r="F376" s="89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29"/>
      <c r="B377" s="89"/>
      <c r="C377" s="29"/>
      <c r="D377" s="29"/>
      <c r="E377" s="29"/>
      <c r="F377" s="89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29"/>
      <c r="B378" s="89"/>
      <c r="C378" s="29"/>
      <c r="D378" s="29"/>
      <c r="E378" s="29"/>
      <c r="F378" s="89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29"/>
      <c r="B379" s="89"/>
      <c r="C379" s="29"/>
      <c r="D379" s="29"/>
      <c r="E379" s="29"/>
      <c r="F379" s="89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29"/>
      <c r="B380" s="89"/>
      <c r="C380" s="29"/>
      <c r="D380" s="29"/>
      <c r="E380" s="29"/>
      <c r="F380" s="89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29"/>
      <c r="B381" s="89"/>
      <c r="C381" s="29"/>
      <c r="D381" s="29"/>
      <c r="E381" s="29"/>
      <c r="F381" s="89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29"/>
      <c r="B382" s="89"/>
      <c r="C382" s="29"/>
      <c r="D382" s="29"/>
      <c r="E382" s="29"/>
      <c r="F382" s="89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29"/>
      <c r="B383" s="89"/>
      <c r="C383" s="29"/>
      <c r="D383" s="29"/>
      <c r="E383" s="29"/>
      <c r="F383" s="89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29"/>
      <c r="B384" s="89"/>
      <c r="C384" s="29"/>
      <c r="D384" s="29"/>
      <c r="E384" s="29"/>
      <c r="F384" s="89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29"/>
      <c r="B385" s="89"/>
      <c r="C385" s="29"/>
      <c r="D385" s="29"/>
      <c r="E385" s="29"/>
      <c r="F385" s="89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29"/>
      <c r="B386" s="89"/>
      <c r="C386" s="29"/>
      <c r="D386" s="29"/>
      <c r="E386" s="29"/>
      <c r="F386" s="89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29"/>
      <c r="B387" s="89"/>
      <c r="C387" s="29"/>
      <c r="D387" s="29"/>
      <c r="E387" s="29"/>
      <c r="F387" s="89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29"/>
      <c r="B388" s="89"/>
      <c r="C388" s="29"/>
      <c r="D388" s="29"/>
      <c r="E388" s="29"/>
      <c r="F388" s="89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29"/>
      <c r="B389" s="89"/>
      <c r="C389" s="29"/>
      <c r="D389" s="29"/>
      <c r="E389" s="29"/>
      <c r="F389" s="89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29"/>
      <c r="B390" s="89"/>
      <c r="C390" s="29"/>
      <c r="D390" s="29"/>
      <c r="E390" s="29"/>
      <c r="F390" s="89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29"/>
      <c r="B391" s="89"/>
      <c r="C391" s="29"/>
      <c r="D391" s="29"/>
      <c r="E391" s="29"/>
      <c r="F391" s="89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29"/>
      <c r="B392" s="89"/>
      <c r="C392" s="29"/>
      <c r="D392" s="29"/>
      <c r="E392" s="29"/>
      <c r="F392" s="89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29"/>
      <c r="B393" s="89"/>
      <c r="C393" s="29"/>
      <c r="D393" s="29"/>
      <c r="E393" s="29"/>
      <c r="F393" s="89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29"/>
      <c r="B394" s="89"/>
      <c r="C394" s="29"/>
      <c r="D394" s="29"/>
      <c r="E394" s="29"/>
      <c r="F394" s="89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29"/>
      <c r="B395" s="89"/>
      <c r="C395" s="29"/>
      <c r="D395" s="29"/>
      <c r="E395" s="29"/>
      <c r="F395" s="89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29"/>
      <c r="B396" s="89"/>
      <c r="C396" s="29"/>
      <c r="D396" s="29"/>
      <c r="E396" s="29"/>
      <c r="F396" s="89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29"/>
      <c r="B397" s="89"/>
      <c r="C397" s="29"/>
      <c r="D397" s="29"/>
      <c r="E397" s="29"/>
      <c r="F397" s="89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29"/>
      <c r="B398" s="89"/>
      <c r="C398" s="29"/>
      <c r="D398" s="29"/>
      <c r="E398" s="29"/>
      <c r="F398" s="89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29"/>
      <c r="B399" s="89"/>
      <c r="C399" s="29"/>
      <c r="D399" s="29"/>
      <c r="E399" s="29"/>
      <c r="F399" s="89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29"/>
      <c r="B400" s="89"/>
      <c r="C400" s="29"/>
      <c r="D400" s="29"/>
      <c r="E400" s="29"/>
      <c r="F400" s="89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29"/>
      <c r="B401" s="89"/>
      <c r="C401" s="29"/>
      <c r="D401" s="29"/>
      <c r="E401" s="29"/>
      <c r="F401" s="89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29"/>
      <c r="B402" s="89"/>
      <c r="C402" s="29"/>
      <c r="D402" s="29"/>
      <c r="E402" s="29"/>
      <c r="F402" s="89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29"/>
      <c r="B403" s="89"/>
      <c r="C403" s="29"/>
      <c r="D403" s="29"/>
      <c r="E403" s="29"/>
      <c r="F403" s="89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29"/>
      <c r="B404" s="89"/>
      <c r="C404" s="29"/>
      <c r="D404" s="29"/>
      <c r="E404" s="29"/>
      <c r="F404" s="89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29"/>
      <c r="B405" s="89"/>
      <c r="C405" s="29"/>
      <c r="D405" s="29"/>
      <c r="E405" s="29"/>
      <c r="F405" s="89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29"/>
      <c r="B406" s="89"/>
      <c r="C406" s="29"/>
      <c r="D406" s="29"/>
      <c r="E406" s="29"/>
      <c r="F406" s="89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29"/>
      <c r="B407" s="89"/>
      <c r="C407" s="29"/>
      <c r="D407" s="29"/>
      <c r="E407" s="29"/>
      <c r="F407" s="89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29"/>
      <c r="B408" s="89"/>
      <c r="C408" s="29"/>
      <c r="D408" s="29"/>
      <c r="E408" s="29"/>
      <c r="F408" s="89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29"/>
      <c r="B409" s="89"/>
      <c r="C409" s="29"/>
      <c r="D409" s="29"/>
      <c r="E409" s="29"/>
      <c r="F409" s="89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29"/>
      <c r="B410" s="89"/>
      <c r="C410" s="29"/>
      <c r="D410" s="29"/>
      <c r="E410" s="29"/>
      <c r="F410" s="89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29"/>
      <c r="B411" s="89"/>
      <c r="C411" s="29"/>
      <c r="D411" s="29"/>
      <c r="E411" s="29"/>
      <c r="F411" s="89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29"/>
      <c r="B412" s="89"/>
      <c r="C412" s="29"/>
      <c r="D412" s="29"/>
      <c r="E412" s="29"/>
      <c r="F412" s="89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29"/>
      <c r="B413" s="89"/>
      <c r="C413" s="29"/>
      <c r="D413" s="29"/>
      <c r="E413" s="29"/>
      <c r="F413" s="89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29"/>
      <c r="B414" s="89"/>
      <c r="C414" s="29"/>
      <c r="D414" s="29"/>
      <c r="E414" s="29"/>
      <c r="F414" s="89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29"/>
      <c r="B415" s="89"/>
      <c r="C415" s="29"/>
      <c r="D415" s="29"/>
      <c r="E415" s="29"/>
      <c r="F415" s="89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29"/>
      <c r="B416" s="89"/>
      <c r="C416" s="29"/>
      <c r="D416" s="29"/>
      <c r="E416" s="29"/>
      <c r="F416" s="89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29"/>
      <c r="B417" s="89"/>
      <c r="C417" s="29"/>
      <c r="D417" s="29"/>
      <c r="E417" s="29"/>
      <c r="F417" s="89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29"/>
      <c r="B418" s="89"/>
      <c r="C418" s="29"/>
      <c r="D418" s="29"/>
      <c r="E418" s="29"/>
      <c r="F418" s="89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29"/>
      <c r="B419" s="89"/>
      <c r="C419" s="29"/>
      <c r="D419" s="29"/>
      <c r="E419" s="29"/>
      <c r="F419" s="89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29"/>
      <c r="B420" s="89"/>
      <c r="C420" s="29"/>
      <c r="D420" s="29"/>
      <c r="E420" s="29"/>
      <c r="F420" s="89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29"/>
      <c r="B421" s="89"/>
      <c r="C421" s="29"/>
      <c r="D421" s="29"/>
      <c r="E421" s="29"/>
      <c r="F421" s="89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29"/>
      <c r="B422" s="89"/>
      <c r="C422" s="29"/>
      <c r="D422" s="29"/>
      <c r="E422" s="29"/>
      <c r="F422" s="89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29"/>
      <c r="B423" s="89"/>
      <c r="C423" s="29"/>
      <c r="D423" s="29"/>
      <c r="E423" s="29"/>
      <c r="F423" s="89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29"/>
      <c r="B424" s="89"/>
      <c r="C424" s="29"/>
      <c r="D424" s="29"/>
      <c r="E424" s="29"/>
      <c r="F424" s="89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29"/>
      <c r="B425" s="89"/>
      <c r="C425" s="29"/>
      <c r="D425" s="29"/>
      <c r="E425" s="29"/>
      <c r="F425" s="89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29"/>
      <c r="B426" s="89"/>
      <c r="C426" s="29"/>
      <c r="D426" s="29"/>
      <c r="E426" s="29"/>
      <c r="F426" s="89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29"/>
      <c r="B427" s="89"/>
      <c r="C427" s="29"/>
      <c r="D427" s="29"/>
      <c r="E427" s="29"/>
      <c r="F427" s="89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29"/>
      <c r="B428" s="89"/>
      <c r="C428" s="29"/>
      <c r="D428" s="29"/>
      <c r="E428" s="29"/>
      <c r="F428" s="89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29"/>
      <c r="B429" s="89"/>
      <c r="C429" s="29"/>
      <c r="D429" s="29"/>
      <c r="E429" s="29"/>
      <c r="F429" s="89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29"/>
      <c r="B430" s="89"/>
      <c r="C430" s="29"/>
      <c r="D430" s="29"/>
      <c r="E430" s="29"/>
      <c r="F430" s="89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29"/>
      <c r="B431" s="89"/>
      <c r="C431" s="29"/>
      <c r="D431" s="29"/>
      <c r="E431" s="29"/>
      <c r="F431" s="89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29"/>
      <c r="B432" s="89"/>
      <c r="C432" s="29"/>
      <c r="D432" s="29"/>
      <c r="E432" s="29"/>
      <c r="F432" s="89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29"/>
      <c r="B433" s="89"/>
      <c r="C433" s="29"/>
      <c r="D433" s="29"/>
      <c r="E433" s="29"/>
      <c r="F433" s="89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29"/>
      <c r="B434" s="89"/>
      <c r="C434" s="29"/>
      <c r="D434" s="29"/>
      <c r="E434" s="29"/>
      <c r="F434" s="89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29"/>
      <c r="B435" s="89"/>
      <c r="C435" s="29"/>
      <c r="D435" s="29"/>
      <c r="E435" s="29"/>
      <c r="F435" s="89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29"/>
      <c r="B436" s="89"/>
      <c r="C436" s="29"/>
      <c r="D436" s="29"/>
      <c r="E436" s="29"/>
      <c r="F436" s="89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29"/>
      <c r="B437" s="89"/>
      <c r="C437" s="29"/>
      <c r="D437" s="29"/>
      <c r="E437" s="29"/>
      <c r="F437" s="89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29"/>
      <c r="B438" s="89"/>
      <c r="C438" s="29"/>
      <c r="D438" s="29"/>
      <c r="E438" s="29"/>
      <c r="F438" s="89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29"/>
      <c r="B439" s="89"/>
      <c r="C439" s="29"/>
      <c r="D439" s="29"/>
      <c r="E439" s="29"/>
      <c r="F439" s="89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90"/>
      <c r="D440" s="90"/>
      <c r="E440" s="91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90"/>
      <c r="D441" s="90"/>
      <c r="E441" s="91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90"/>
      <c r="D442" s="90"/>
      <c r="E442" s="91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90"/>
      <c r="D443" s="90"/>
      <c r="E443" s="91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90"/>
      <c r="D444" s="90"/>
      <c r="E444" s="91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90"/>
      <c r="D445" s="90"/>
      <c r="E445" s="91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90"/>
      <c r="D446" s="90"/>
      <c r="E446" s="91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90"/>
      <c r="D447" s="90"/>
      <c r="E447" s="91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90"/>
      <c r="D448" s="90"/>
      <c r="E448" s="91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90"/>
      <c r="D449" s="90"/>
      <c r="E449" s="91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90"/>
      <c r="D450" s="90"/>
      <c r="E450" s="91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90"/>
      <c r="D451" s="90"/>
      <c r="E451" s="91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90"/>
      <c r="D452" s="90"/>
      <c r="E452" s="91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90"/>
      <c r="D453" s="90"/>
      <c r="E453" s="91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90"/>
      <c r="D454" s="90"/>
      <c r="E454" s="91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90"/>
      <c r="D455" s="90"/>
      <c r="E455" s="91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90"/>
      <c r="D456" s="90"/>
      <c r="E456" s="91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90"/>
      <c r="D457" s="90"/>
      <c r="E457" s="91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90"/>
      <c r="D458" s="90"/>
      <c r="E458" s="91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90"/>
      <c r="D459" s="90"/>
      <c r="E459" s="91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90"/>
      <c r="D460" s="90"/>
      <c r="E460" s="91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90"/>
      <c r="D461" s="90"/>
      <c r="E461" s="91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90"/>
      <c r="D462" s="90"/>
      <c r="E462" s="91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90"/>
      <c r="D463" s="90"/>
      <c r="E463" s="91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90"/>
      <c r="D464" s="90"/>
      <c r="E464" s="91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90"/>
      <c r="D465" s="90"/>
      <c r="E465" s="91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90"/>
      <c r="D466" s="90"/>
      <c r="E466" s="91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90"/>
      <c r="D467" s="90"/>
      <c r="E467" s="91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90"/>
      <c r="D468" s="90"/>
      <c r="E468" s="91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90"/>
      <c r="D469" s="90"/>
      <c r="E469" s="91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90"/>
      <c r="D470" s="90"/>
      <c r="E470" s="91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90"/>
      <c r="D471" s="90"/>
      <c r="E471" s="91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90"/>
      <c r="D472" s="90"/>
      <c r="E472" s="91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90"/>
      <c r="D473" s="90"/>
      <c r="E473" s="91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90"/>
      <c r="D474" s="90"/>
      <c r="E474" s="91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90"/>
      <c r="D475" s="90"/>
      <c r="E475" s="91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90"/>
      <c r="D476" s="90"/>
      <c r="E476" s="91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90"/>
      <c r="D477" s="90"/>
      <c r="E477" s="91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90"/>
      <c r="D478" s="90"/>
      <c r="E478" s="91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90"/>
      <c r="D479" s="90"/>
      <c r="E479" s="91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90"/>
      <c r="D480" s="90"/>
      <c r="E480" s="91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90"/>
      <c r="D481" s="90"/>
      <c r="E481" s="91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90"/>
      <c r="D482" s="90"/>
      <c r="E482" s="91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90"/>
      <c r="D483" s="90"/>
      <c r="E483" s="91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90"/>
      <c r="D484" s="90"/>
      <c r="E484" s="91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90"/>
      <c r="D485" s="90"/>
      <c r="E485" s="91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90"/>
      <c r="D486" s="90"/>
      <c r="E486" s="91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90"/>
      <c r="D487" s="90"/>
      <c r="E487" s="91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90"/>
      <c r="D488" s="90"/>
      <c r="E488" s="91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90"/>
      <c r="D489" s="90"/>
      <c r="E489" s="91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90"/>
      <c r="D490" s="90"/>
      <c r="E490" s="91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90"/>
      <c r="D491" s="90"/>
      <c r="E491" s="91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90"/>
      <c r="D492" s="90"/>
      <c r="E492" s="91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90"/>
      <c r="D493" s="90"/>
      <c r="E493" s="91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90"/>
      <c r="D494" s="90"/>
      <c r="E494" s="91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90"/>
      <c r="D495" s="90"/>
      <c r="E495" s="91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90"/>
      <c r="D496" s="90"/>
      <c r="E496" s="91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90"/>
      <c r="D497" s="90"/>
      <c r="E497" s="91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90"/>
      <c r="D498" s="90"/>
      <c r="E498" s="91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90"/>
      <c r="D499" s="90"/>
      <c r="E499" s="91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90"/>
      <c r="D500" s="90"/>
      <c r="E500" s="91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90"/>
      <c r="D501" s="90"/>
      <c r="E501" s="91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90"/>
      <c r="D502" s="90"/>
      <c r="E502" s="91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90"/>
      <c r="D503" s="90"/>
      <c r="E503" s="91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90"/>
      <c r="D504" s="90"/>
      <c r="E504" s="91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90"/>
      <c r="D505" s="90"/>
      <c r="E505" s="91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90"/>
      <c r="D506" s="90"/>
      <c r="E506" s="91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90"/>
      <c r="D507" s="90"/>
      <c r="E507" s="91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90"/>
      <c r="D508" s="90"/>
      <c r="E508" s="91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90"/>
      <c r="D509" s="90"/>
      <c r="E509" s="91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90"/>
      <c r="D510" s="90"/>
      <c r="E510" s="91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90"/>
      <c r="D511" s="90"/>
      <c r="E511" s="91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90"/>
      <c r="D512" s="90"/>
      <c r="E512" s="91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90"/>
      <c r="D513" s="90"/>
      <c r="E513" s="91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90"/>
      <c r="D514" s="90"/>
      <c r="E514" s="91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90"/>
      <c r="D515" s="90"/>
      <c r="E515" s="91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90"/>
      <c r="D516" s="90"/>
      <c r="E516" s="91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90"/>
      <c r="D517" s="90"/>
      <c r="E517" s="91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90"/>
      <c r="D518" s="90"/>
      <c r="E518" s="91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90"/>
      <c r="D519" s="90"/>
      <c r="E519" s="91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90"/>
      <c r="D520" s="90"/>
      <c r="E520" s="91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90"/>
      <c r="D521" s="90"/>
      <c r="E521" s="91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90"/>
      <c r="D522" s="90"/>
      <c r="E522" s="91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90"/>
      <c r="D523" s="90"/>
      <c r="E523" s="91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90"/>
      <c r="D524" s="90"/>
      <c r="E524" s="91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90"/>
      <c r="D525" s="90"/>
      <c r="E525" s="91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90"/>
      <c r="D526" s="90"/>
      <c r="E526" s="91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90"/>
      <c r="D527" s="90"/>
      <c r="E527" s="91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90"/>
      <c r="D528" s="90"/>
      <c r="E528" s="91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90"/>
      <c r="D529" s="90"/>
      <c r="E529" s="91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90"/>
      <c r="D530" s="90"/>
      <c r="E530" s="91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90"/>
      <c r="D531" s="90"/>
      <c r="E531" s="91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90"/>
      <c r="D532" s="90"/>
      <c r="E532" s="91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90"/>
      <c r="D533" s="90"/>
      <c r="E533" s="91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90"/>
      <c r="D534" s="90"/>
      <c r="E534" s="91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90"/>
      <c r="D535" s="90"/>
      <c r="E535" s="91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90"/>
      <c r="D536" s="90"/>
      <c r="E536" s="91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90"/>
      <c r="D537" s="90"/>
      <c r="E537" s="91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90"/>
      <c r="D538" s="90"/>
      <c r="E538" s="91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90"/>
      <c r="D539" s="90"/>
      <c r="E539" s="91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90"/>
      <c r="D540" s="90"/>
      <c r="E540" s="91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90"/>
      <c r="D541" s="90"/>
      <c r="E541" s="91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90"/>
      <c r="D542" s="90"/>
      <c r="E542" s="91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90"/>
      <c r="D543" s="90"/>
      <c r="E543" s="91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90"/>
      <c r="D544" s="90"/>
      <c r="E544" s="91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90"/>
      <c r="D545" s="90"/>
      <c r="E545" s="91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90"/>
      <c r="D546" s="90"/>
      <c r="E546" s="91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90"/>
      <c r="D547" s="90"/>
      <c r="E547" s="91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90"/>
      <c r="D548" s="90"/>
      <c r="E548" s="91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90"/>
      <c r="D549" s="90"/>
      <c r="E549" s="91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90"/>
      <c r="D550" s="90"/>
      <c r="E550" s="91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90"/>
      <c r="D551" s="90"/>
      <c r="E551" s="91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90"/>
      <c r="D552" s="90"/>
      <c r="E552" s="91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90"/>
      <c r="D553" s="90"/>
      <c r="E553" s="91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90"/>
      <c r="D554" s="90"/>
      <c r="E554" s="91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90"/>
      <c r="D555" s="90"/>
      <c r="E555" s="91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90"/>
      <c r="D556" s="90"/>
      <c r="E556" s="91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90"/>
      <c r="D557" s="90"/>
      <c r="E557" s="91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90"/>
      <c r="D558" s="90"/>
      <c r="E558" s="91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90"/>
      <c r="D559" s="90"/>
      <c r="E559" s="91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90"/>
      <c r="D560" s="90"/>
      <c r="E560" s="91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90"/>
      <c r="D561" s="90"/>
      <c r="E561" s="91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90"/>
      <c r="D562" s="90"/>
      <c r="E562" s="91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90"/>
      <c r="D563" s="90"/>
      <c r="E563" s="91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90"/>
      <c r="D564" s="90"/>
      <c r="E564" s="91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90"/>
      <c r="D565" s="90"/>
      <c r="E565" s="91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90"/>
      <c r="D566" s="90"/>
      <c r="E566" s="91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90"/>
      <c r="D567" s="90"/>
      <c r="E567" s="91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90"/>
      <c r="D568" s="90"/>
      <c r="E568" s="91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90"/>
      <c r="D569" s="90"/>
      <c r="E569" s="91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90"/>
      <c r="D570" s="90"/>
      <c r="E570" s="91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90"/>
      <c r="D571" s="90"/>
      <c r="E571" s="91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90"/>
      <c r="D572" s="90"/>
      <c r="E572" s="91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90"/>
      <c r="D573" s="90"/>
      <c r="E573" s="91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90"/>
      <c r="D574" s="90"/>
      <c r="E574" s="91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90"/>
      <c r="D575" s="90"/>
      <c r="E575" s="91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90"/>
      <c r="D576" s="90"/>
      <c r="E576" s="91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90"/>
      <c r="D577" s="90"/>
      <c r="E577" s="91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90"/>
      <c r="D578" s="90"/>
      <c r="E578" s="91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90"/>
      <c r="D579" s="90"/>
      <c r="E579" s="91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90"/>
      <c r="D580" s="90"/>
      <c r="E580" s="91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90"/>
      <c r="D581" s="90"/>
      <c r="E581" s="91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90"/>
      <c r="D582" s="90"/>
      <c r="E582" s="91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90"/>
      <c r="D583" s="90"/>
      <c r="E583" s="91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90"/>
      <c r="D584" s="90"/>
      <c r="E584" s="91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90"/>
      <c r="D585" s="90"/>
      <c r="E585" s="91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90"/>
      <c r="D586" s="90"/>
      <c r="E586" s="91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90"/>
      <c r="D587" s="90"/>
      <c r="E587" s="91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90"/>
      <c r="D588" s="90"/>
      <c r="E588" s="91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90"/>
      <c r="D589" s="90"/>
      <c r="E589" s="91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90"/>
      <c r="D590" s="90"/>
      <c r="E590" s="91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90"/>
      <c r="D591" s="90"/>
      <c r="E591" s="91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90"/>
      <c r="D592" s="90"/>
      <c r="E592" s="91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90"/>
      <c r="D593" s="90"/>
      <c r="E593" s="91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90"/>
      <c r="D594" s="90"/>
      <c r="E594" s="91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90"/>
      <c r="D595" s="90"/>
      <c r="E595" s="91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90"/>
      <c r="D596" s="90"/>
      <c r="E596" s="91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90"/>
      <c r="D597" s="90"/>
      <c r="E597" s="91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90"/>
      <c r="D598" s="90"/>
      <c r="E598" s="91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90"/>
      <c r="D599" s="90"/>
      <c r="E599" s="91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90"/>
      <c r="D600" s="90"/>
      <c r="E600" s="91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90"/>
      <c r="D601" s="90"/>
      <c r="E601" s="91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90"/>
      <c r="D602" s="90"/>
      <c r="E602" s="91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90"/>
      <c r="D603" s="90"/>
      <c r="E603" s="91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90"/>
      <c r="D604" s="90"/>
      <c r="E604" s="91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90"/>
      <c r="D605" s="90"/>
      <c r="E605" s="91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90"/>
      <c r="D606" s="90"/>
      <c r="E606" s="91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90"/>
      <c r="D607" s="90"/>
      <c r="E607" s="91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90"/>
      <c r="D608" s="90"/>
      <c r="E608" s="91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90"/>
      <c r="D609" s="90"/>
      <c r="E609" s="91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90"/>
      <c r="D610" s="90"/>
      <c r="E610" s="91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90"/>
      <c r="D611" s="90"/>
      <c r="E611" s="91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90"/>
      <c r="D612" s="90"/>
      <c r="E612" s="91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90"/>
      <c r="D613" s="90"/>
      <c r="E613" s="91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90"/>
      <c r="D614" s="90"/>
      <c r="E614" s="91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90"/>
      <c r="D615" s="90"/>
      <c r="E615" s="91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90"/>
      <c r="D616" s="90"/>
      <c r="E616" s="91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90"/>
      <c r="D617" s="90"/>
      <c r="E617" s="91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90"/>
      <c r="D618" s="90"/>
      <c r="E618" s="91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90"/>
      <c r="D619" s="90"/>
      <c r="E619" s="91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90"/>
      <c r="D620" s="90"/>
      <c r="E620" s="91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90"/>
      <c r="D621" s="90"/>
      <c r="E621" s="91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90"/>
      <c r="D622" s="90"/>
      <c r="E622" s="91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90"/>
      <c r="D623" s="90"/>
      <c r="E623" s="91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90"/>
      <c r="D624" s="90"/>
      <c r="E624" s="91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90"/>
      <c r="D625" s="90"/>
      <c r="E625" s="91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90"/>
      <c r="D626" s="90"/>
      <c r="E626" s="91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90"/>
      <c r="D627" s="90"/>
      <c r="E627" s="91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90"/>
      <c r="D628" s="90"/>
      <c r="E628" s="91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90"/>
      <c r="D629" s="90"/>
      <c r="E629" s="91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90"/>
      <c r="D630" s="90"/>
      <c r="E630" s="91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90"/>
      <c r="D631" s="90"/>
      <c r="E631" s="91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90"/>
      <c r="D632" s="90"/>
      <c r="E632" s="91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90"/>
      <c r="D633" s="90"/>
      <c r="E633" s="91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90"/>
      <c r="D634" s="90"/>
      <c r="E634" s="91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90"/>
      <c r="D635" s="90"/>
      <c r="E635" s="91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90"/>
      <c r="D636" s="90"/>
      <c r="E636" s="91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90"/>
      <c r="D637" s="90"/>
      <c r="E637" s="91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90"/>
      <c r="D638" s="90"/>
      <c r="E638" s="91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90"/>
      <c r="D639" s="90"/>
      <c r="E639" s="91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90"/>
      <c r="D640" s="90"/>
      <c r="E640" s="91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90"/>
      <c r="D641" s="90"/>
      <c r="E641" s="91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90"/>
      <c r="D642" s="90"/>
      <c r="E642" s="91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90"/>
      <c r="D643" s="90"/>
      <c r="E643" s="91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90"/>
      <c r="D644" s="90"/>
      <c r="E644" s="91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90"/>
      <c r="D645" s="90"/>
      <c r="E645" s="91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90"/>
      <c r="D646" s="90"/>
      <c r="E646" s="91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90"/>
      <c r="D647" s="90"/>
      <c r="E647" s="91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90"/>
      <c r="D648" s="90"/>
      <c r="E648" s="91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90"/>
      <c r="D649" s="90"/>
      <c r="E649" s="91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90"/>
      <c r="D650" s="90"/>
      <c r="E650" s="91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90"/>
      <c r="D651" s="90"/>
      <c r="E651" s="91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90"/>
      <c r="D652" s="90"/>
      <c r="E652" s="91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90"/>
      <c r="D653" s="90"/>
      <c r="E653" s="91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90"/>
      <c r="D654" s="90"/>
      <c r="E654" s="91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90"/>
      <c r="D655" s="90"/>
      <c r="E655" s="91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90"/>
      <c r="D656" s="90"/>
      <c r="E656" s="91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90"/>
      <c r="D657" s="90"/>
      <c r="E657" s="91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90"/>
      <c r="D658" s="90"/>
      <c r="E658" s="91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90"/>
      <c r="D659" s="90"/>
      <c r="E659" s="91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90"/>
      <c r="D660" s="90"/>
      <c r="E660" s="91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90"/>
      <c r="D661" s="90"/>
      <c r="E661" s="91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90"/>
      <c r="D662" s="90"/>
      <c r="E662" s="91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90"/>
      <c r="D663" s="90"/>
      <c r="E663" s="91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90"/>
      <c r="D664" s="90"/>
      <c r="E664" s="91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90"/>
      <c r="D665" s="90"/>
      <c r="E665" s="91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90"/>
      <c r="D666" s="90"/>
      <c r="E666" s="91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90"/>
      <c r="D667" s="90"/>
      <c r="E667" s="91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90"/>
      <c r="D668" s="90"/>
      <c r="E668" s="91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90"/>
      <c r="D669" s="90"/>
      <c r="E669" s="91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90"/>
      <c r="D670" s="90"/>
      <c r="E670" s="91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90"/>
      <c r="D671" s="90"/>
      <c r="E671" s="91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90"/>
      <c r="D672" s="90"/>
      <c r="E672" s="91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90"/>
      <c r="D673" s="90"/>
      <c r="E673" s="91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90"/>
      <c r="D674" s="90"/>
      <c r="E674" s="91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90"/>
      <c r="D675" s="90"/>
      <c r="E675" s="91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90"/>
      <c r="D676" s="90"/>
      <c r="E676" s="91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90"/>
      <c r="D677" s="90"/>
      <c r="E677" s="91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90"/>
      <c r="D678" s="90"/>
      <c r="E678" s="91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90"/>
      <c r="D679" s="90"/>
      <c r="E679" s="91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90"/>
      <c r="D680" s="90"/>
      <c r="E680" s="91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90"/>
      <c r="D681" s="90"/>
      <c r="E681" s="91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90"/>
      <c r="D682" s="90"/>
      <c r="E682" s="91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90"/>
      <c r="D683" s="90"/>
      <c r="E683" s="91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90"/>
      <c r="D684" s="90"/>
      <c r="E684" s="91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90"/>
      <c r="D685" s="90"/>
      <c r="E685" s="91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90"/>
      <c r="D686" s="90"/>
      <c r="E686" s="91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90"/>
      <c r="D687" s="90"/>
      <c r="E687" s="91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90"/>
      <c r="D688" s="90"/>
      <c r="E688" s="91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90"/>
      <c r="D689" s="90"/>
      <c r="E689" s="91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90"/>
      <c r="D690" s="90"/>
      <c r="E690" s="91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90"/>
      <c r="D691" s="90"/>
      <c r="E691" s="91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90"/>
      <c r="D692" s="90"/>
      <c r="E692" s="91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90"/>
      <c r="D693" s="90"/>
      <c r="E693" s="91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90"/>
      <c r="D694" s="90"/>
      <c r="E694" s="91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90"/>
      <c r="D695" s="90"/>
      <c r="E695" s="91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90"/>
      <c r="D696" s="90"/>
      <c r="E696" s="91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90"/>
      <c r="D697" s="90"/>
      <c r="E697" s="91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90"/>
      <c r="D698" s="90"/>
      <c r="E698" s="91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90"/>
      <c r="D699" s="90"/>
      <c r="E699" s="91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90"/>
      <c r="D700" s="90"/>
      <c r="E700" s="91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90"/>
      <c r="D701" s="90"/>
      <c r="E701" s="91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90"/>
      <c r="D702" s="90"/>
      <c r="E702" s="91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90"/>
      <c r="D703" s="90"/>
      <c r="E703" s="91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90"/>
      <c r="D704" s="90"/>
      <c r="E704" s="91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90"/>
      <c r="D705" s="90"/>
      <c r="E705" s="91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90"/>
      <c r="D706" s="90"/>
      <c r="E706" s="91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90"/>
      <c r="D707" s="90"/>
      <c r="E707" s="91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90"/>
      <c r="D708" s="90"/>
      <c r="E708" s="91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90"/>
      <c r="D709" s="90"/>
      <c r="E709" s="91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90"/>
      <c r="D710" s="90"/>
      <c r="E710" s="91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90"/>
      <c r="D711" s="90"/>
      <c r="E711" s="91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90"/>
      <c r="D712" s="90"/>
      <c r="E712" s="91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90"/>
      <c r="D713" s="90"/>
      <c r="E713" s="91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90"/>
      <c r="D714" s="90"/>
      <c r="E714" s="91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90"/>
      <c r="D715" s="90"/>
      <c r="E715" s="91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90"/>
      <c r="D716" s="90"/>
      <c r="E716" s="91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90"/>
      <c r="D717" s="90"/>
      <c r="E717" s="91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90"/>
      <c r="D718" s="90"/>
      <c r="E718" s="91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90"/>
      <c r="D719" s="90"/>
      <c r="E719" s="91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90"/>
      <c r="D720" s="90"/>
      <c r="E720" s="91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90"/>
      <c r="D721" s="90"/>
      <c r="E721" s="91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90"/>
      <c r="D722" s="90"/>
      <c r="E722" s="91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90"/>
      <c r="D723" s="90"/>
      <c r="E723" s="91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90"/>
      <c r="D724" s="90"/>
      <c r="E724" s="91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90"/>
      <c r="D725" s="90"/>
      <c r="E725" s="91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90"/>
      <c r="D726" s="90"/>
      <c r="E726" s="91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90"/>
      <c r="D727" s="90"/>
      <c r="E727" s="91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90"/>
      <c r="D728" s="90"/>
      <c r="E728" s="91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90"/>
      <c r="D729" s="90"/>
      <c r="E729" s="91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90"/>
      <c r="D730" s="90"/>
      <c r="E730" s="91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90"/>
      <c r="D731" s="90"/>
      <c r="E731" s="91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90"/>
      <c r="D732" s="90"/>
      <c r="E732" s="91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90"/>
      <c r="D733" s="90"/>
      <c r="E733" s="91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90"/>
      <c r="D734" s="90"/>
      <c r="E734" s="91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90"/>
      <c r="D735" s="90"/>
      <c r="E735" s="91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90"/>
      <c r="D736" s="90"/>
      <c r="E736" s="91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90"/>
      <c r="D737" s="90"/>
      <c r="E737" s="91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90"/>
      <c r="D738" s="90"/>
      <c r="E738" s="91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90"/>
      <c r="D739" s="90"/>
      <c r="E739" s="91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90"/>
      <c r="D740" s="90"/>
      <c r="E740" s="91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90"/>
      <c r="D741" s="90"/>
      <c r="E741" s="91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90"/>
      <c r="D742" s="90"/>
      <c r="E742" s="91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90"/>
      <c r="D743" s="90"/>
      <c r="E743" s="91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90"/>
      <c r="D744" s="90"/>
      <c r="E744" s="91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90"/>
      <c r="D745" s="90"/>
      <c r="E745" s="91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90"/>
      <c r="D746" s="90"/>
      <c r="E746" s="91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90"/>
      <c r="D747" s="90"/>
      <c r="E747" s="91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90"/>
      <c r="D748" s="90"/>
      <c r="E748" s="91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90"/>
      <c r="D749" s="90"/>
      <c r="E749" s="91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90"/>
      <c r="D750" s="90"/>
      <c r="E750" s="91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90"/>
      <c r="D751" s="90"/>
      <c r="E751" s="91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90"/>
      <c r="D752" s="90"/>
      <c r="E752" s="91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90"/>
      <c r="D753" s="90"/>
      <c r="E753" s="91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90"/>
      <c r="D754" s="90"/>
      <c r="E754" s="91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90"/>
      <c r="D755" s="90"/>
      <c r="E755" s="91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90"/>
      <c r="D756" s="90"/>
      <c r="E756" s="91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90"/>
      <c r="D757" s="90"/>
      <c r="E757" s="91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90"/>
      <c r="D758" s="90"/>
      <c r="E758" s="91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90"/>
      <c r="D759" s="90"/>
      <c r="E759" s="91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90"/>
      <c r="D760" s="90"/>
      <c r="E760" s="91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90"/>
      <c r="D761" s="90"/>
      <c r="E761" s="91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90"/>
      <c r="D762" s="90"/>
      <c r="E762" s="91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90"/>
      <c r="D763" s="90"/>
      <c r="E763" s="91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90"/>
      <c r="D764" s="90"/>
      <c r="E764" s="91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90"/>
      <c r="D765" s="90"/>
      <c r="E765" s="91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90"/>
      <c r="D766" s="90"/>
      <c r="E766" s="91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90"/>
      <c r="D767" s="90"/>
      <c r="E767" s="91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90"/>
      <c r="D768" s="90"/>
      <c r="E768" s="91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90"/>
      <c r="D769" s="90"/>
      <c r="E769" s="91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90"/>
      <c r="D770" s="90"/>
      <c r="E770" s="91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90"/>
      <c r="D771" s="90"/>
      <c r="E771" s="91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90"/>
      <c r="D772" s="90"/>
      <c r="E772" s="91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90"/>
      <c r="D773" s="90"/>
      <c r="E773" s="91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90"/>
      <c r="D774" s="90"/>
      <c r="E774" s="91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90"/>
      <c r="D775" s="90"/>
      <c r="E775" s="91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90"/>
      <c r="D776" s="90"/>
      <c r="E776" s="91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90"/>
      <c r="D777" s="90"/>
      <c r="E777" s="91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90"/>
      <c r="D778" s="90"/>
      <c r="E778" s="91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90"/>
      <c r="D779" s="90"/>
      <c r="E779" s="91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90"/>
      <c r="D780" s="90"/>
      <c r="E780" s="91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90"/>
      <c r="D781" s="90"/>
      <c r="E781" s="91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90"/>
      <c r="D782" s="90"/>
      <c r="E782" s="91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90"/>
      <c r="D783" s="90"/>
      <c r="E783" s="91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90"/>
      <c r="D784" s="90"/>
      <c r="E784" s="91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90"/>
      <c r="D785" s="90"/>
      <c r="E785" s="91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90"/>
      <c r="D786" s="90"/>
      <c r="E786" s="91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90"/>
      <c r="D787" s="90"/>
      <c r="E787" s="91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90"/>
      <c r="D788" s="90"/>
      <c r="E788" s="91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90"/>
      <c r="D789" s="90"/>
      <c r="E789" s="91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90"/>
      <c r="D790" s="90"/>
      <c r="E790" s="91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90"/>
      <c r="D791" s="90"/>
      <c r="E791" s="91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90"/>
      <c r="D792" s="90"/>
      <c r="E792" s="91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90"/>
      <c r="D793" s="90"/>
      <c r="E793" s="91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90"/>
      <c r="D794" s="90"/>
      <c r="E794" s="91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90"/>
      <c r="D795" s="90"/>
      <c r="E795" s="91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90"/>
      <c r="D796" s="90"/>
      <c r="E796" s="91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90"/>
      <c r="D797" s="90"/>
      <c r="E797" s="91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90"/>
      <c r="D798" s="90"/>
      <c r="E798" s="91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90"/>
      <c r="D799" s="90"/>
      <c r="E799" s="91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90"/>
      <c r="D800" s="90"/>
      <c r="E800" s="91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90"/>
      <c r="D801" s="90"/>
      <c r="E801" s="91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90"/>
      <c r="D802" s="90"/>
      <c r="E802" s="91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90"/>
      <c r="D803" s="90"/>
      <c r="E803" s="91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90"/>
      <c r="D804" s="90"/>
      <c r="E804" s="91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90"/>
      <c r="D805" s="90"/>
      <c r="E805" s="91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90"/>
      <c r="D806" s="90"/>
      <c r="E806" s="91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90"/>
      <c r="D807" s="90"/>
      <c r="E807" s="91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90"/>
      <c r="D808" s="90"/>
      <c r="E808" s="91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90"/>
      <c r="D809" s="90"/>
      <c r="E809" s="91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90"/>
      <c r="D810" s="90"/>
      <c r="E810" s="91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90"/>
      <c r="D811" s="90"/>
      <c r="E811" s="91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90"/>
      <c r="D812" s="90"/>
      <c r="E812" s="91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90"/>
      <c r="D813" s="90"/>
      <c r="E813" s="91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90"/>
      <c r="D814" s="90"/>
      <c r="E814" s="91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90"/>
      <c r="D815" s="90"/>
      <c r="E815" s="91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90"/>
      <c r="D816" s="90"/>
      <c r="E816" s="91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90"/>
      <c r="D817" s="90"/>
      <c r="E817" s="91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90"/>
      <c r="D818" s="90"/>
      <c r="E818" s="91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90"/>
      <c r="D819" s="90"/>
      <c r="E819" s="91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90"/>
      <c r="D820" s="90"/>
      <c r="E820" s="91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90"/>
      <c r="D821" s="90"/>
      <c r="E821" s="91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90"/>
      <c r="D822" s="90"/>
      <c r="E822" s="91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90"/>
      <c r="D823" s="90"/>
      <c r="E823" s="91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90"/>
      <c r="D824" s="90"/>
      <c r="E824" s="91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90"/>
      <c r="D825" s="90"/>
      <c r="E825" s="91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90"/>
      <c r="D826" s="90"/>
      <c r="E826" s="91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90"/>
      <c r="D827" s="90"/>
      <c r="E827" s="91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90"/>
      <c r="D828" s="90"/>
      <c r="E828" s="91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90"/>
      <c r="D829" s="90"/>
      <c r="E829" s="91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90"/>
      <c r="D830" s="90"/>
      <c r="E830" s="91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90"/>
      <c r="D831" s="90"/>
      <c r="E831" s="91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90"/>
      <c r="D832" s="90"/>
      <c r="E832" s="91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90"/>
      <c r="D833" s="90"/>
      <c r="E833" s="91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90"/>
      <c r="D834" s="90"/>
      <c r="E834" s="91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90"/>
      <c r="D835" s="90"/>
      <c r="E835" s="91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90"/>
      <c r="D836" s="90"/>
      <c r="E836" s="91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90"/>
      <c r="D837" s="90"/>
      <c r="E837" s="91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90"/>
      <c r="D838" s="90"/>
      <c r="E838" s="91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90"/>
      <c r="D839" s="90"/>
      <c r="E839" s="91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90"/>
      <c r="D840" s="90"/>
      <c r="E840" s="91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90"/>
      <c r="D841" s="90"/>
      <c r="E841" s="91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90"/>
      <c r="D842" s="90"/>
      <c r="E842" s="91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90"/>
      <c r="D843" s="90"/>
      <c r="E843" s="91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90"/>
      <c r="D844" s="90"/>
      <c r="E844" s="91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90"/>
      <c r="D845" s="90"/>
      <c r="E845" s="91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90"/>
      <c r="D846" s="90"/>
      <c r="E846" s="91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90"/>
      <c r="D847" s="90"/>
      <c r="E847" s="91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90"/>
      <c r="D848" s="90"/>
      <c r="E848" s="91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90"/>
      <c r="D849" s="90"/>
      <c r="E849" s="91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90"/>
      <c r="D850" s="90"/>
      <c r="E850" s="91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90"/>
      <c r="D851" s="90"/>
      <c r="E851" s="91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90"/>
      <c r="D852" s="90"/>
      <c r="E852" s="91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90"/>
      <c r="D853" s="90"/>
      <c r="E853" s="91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90"/>
      <c r="D854" s="90"/>
      <c r="E854" s="91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90"/>
      <c r="D855" s="90"/>
      <c r="E855" s="91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90"/>
      <c r="D856" s="90"/>
      <c r="E856" s="91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90"/>
      <c r="D857" s="90"/>
      <c r="E857" s="91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90"/>
      <c r="D858" s="90"/>
      <c r="E858" s="91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90"/>
      <c r="D859" s="90"/>
      <c r="E859" s="91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90"/>
      <c r="D860" s="90"/>
      <c r="E860" s="91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90"/>
      <c r="D861" s="90"/>
      <c r="E861" s="91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90"/>
      <c r="D862" s="90"/>
      <c r="E862" s="91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90"/>
      <c r="D863" s="90"/>
      <c r="E863" s="91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90"/>
      <c r="D864" s="90"/>
      <c r="E864" s="91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90"/>
      <c r="D865" s="90"/>
      <c r="E865" s="91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90"/>
      <c r="D866" s="90"/>
      <c r="E866" s="91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90"/>
      <c r="D867" s="90"/>
      <c r="E867" s="91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90"/>
      <c r="D868" s="90"/>
      <c r="E868" s="91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90"/>
      <c r="D869" s="90"/>
      <c r="E869" s="91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90"/>
      <c r="D870" s="90"/>
      <c r="E870" s="91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90"/>
      <c r="D871" s="90"/>
      <c r="E871" s="91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90"/>
      <c r="D872" s="90"/>
      <c r="E872" s="91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90"/>
      <c r="D873" s="90"/>
      <c r="E873" s="91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90"/>
      <c r="D874" s="90"/>
      <c r="E874" s="91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90"/>
      <c r="D875" s="90"/>
      <c r="E875" s="91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90"/>
      <c r="D876" s="90"/>
      <c r="E876" s="91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90"/>
      <c r="D877" s="90"/>
      <c r="E877" s="91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90"/>
      <c r="D878" s="90"/>
      <c r="E878" s="91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90"/>
      <c r="D879" s="90"/>
      <c r="E879" s="91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90"/>
      <c r="D880" s="90"/>
      <c r="E880" s="91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90"/>
      <c r="D881" s="90"/>
      <c r="E881" s="91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90"/>
      <c r="D882" s="90"/>
      <c r="E882" s="91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90"/>
      <c r="D883" s="90"/>
      <c r="E883" s="91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90"/>
      <c r="D884" s="90"/>
      <c r="E884" s="91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90"/>
      <c r="D885" s="90"/>
      <c r="E885" s="91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90"/>
      <c r="D886" s="90"/>
      <c r="E886" s="91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90"/>
      <c r="D887" s="90"/>
      <c r="E887" s="91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90"/>
      <c r="D888" s="90"/>
      <c r="E888" s="91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90"/>
      <c r="D889" s="90"/>
      <c r="E889" s="91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90"/>
      <c r="D890" s="90"/>
      <c r="E890" s="91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90"/>
      <c r="D891" s="90"/>
      <c r="E891" s="91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90"/>
      <c r="D892" s="90"/>
      <c r="E892" s="91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90"/>
      <c r="D893" s="90"/>
      <c r="E893" s="91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90"/>
      <c r="D894" s="90"/>
      <c r="E894" s="91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90"/>
      <c r="D895" s="90"/>
      <c r="E895" s="91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90"/>
      <c r="D896" s="90"/>
      <c r="E896" s="91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90"/>
      <c r="D897" s="90"/>
      <c r="E897" s="91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90"/>
      <c r="D898" s="90"/>
      <c r="E898" s="91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90"/>
      <c r="D899" s="90"/>
      <c r="E899" s="91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90"/>
      <c r="D900" s="90"/>
      <c r="E900" s="91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90"/>
      <c r="D901" s="90"/>
      <c r="E901" s="91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90"/>
      <c r="D902" s="90"/>
      <c r="E902" s="91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90"/>
      <c r="D903" s="90"/>
      <c r="E903" s="91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90"/>
      <c r="D904" s="90"/>
      <c r="E904" s="91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90"/>
      <c r="D905" s="90"/>
      <c r="E905" s="91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90"/>
      <c r="D906" s="90"/>
      <c r="E906" s="91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90"/>
      <c r="D907" s="90"/>
      <c r="E907" s="91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90"/>
      <c r="D908" s="90"/>
      <c r="E908" s="91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90"/>
      <c r="D909" s="90"/>
      <c r="E909" s="91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90"/>
      <c r="D910" s="90"/>
      <c r="E910" s="91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90"/>
      <c r="D911" s="90"/>
      <c r="E911" s="91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90"/>
      <c r="D912" s="90"/>
      <c r="E912" s="91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90"/>
      <c r="D913" s="90"/>
      <c r="E913" s="91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90"/>
      <c r="D914" s="90"/>
      <c r="E914" s="91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90"/>
      <c r="D915" s="90"/>
      <c r="E915" s="91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90"/>
      <c r="D916" s="90"/>
      <c r="E916" s="91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90"/>
      <c r="D917" s="90"/>
      <c r="E917" s="91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90"/>
      <c r="D918" s="90"/>
      <c r="E918" s="91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90"/>
      <c r="D919" s="90"/>
      <c r="E919" s="91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90"/>
      <c r="D920" s="90"/>
      <c r="E920" s="91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90"/>
      <c r="D921" s="90"/>
      <c r="E921" s="91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90"/>
      <c r="D922" s="90"/>
      <c r="E922" s="91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90"/>
      <c r="D923" s="90"/>
      <c r="E923" s="91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90"/>
      <c r="D924" s="90"/>
      <c r="E924" s="91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90"/>
      <c r="D925" s="90"/>
      <c r="E925" s="91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90"/>
      <c r="D926" s="90"/>
      <c r="E926" s="91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90"/>
      <c r="D927" s="90"/>
      <c r="E927" s="91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90"/>
      <c r="D928" s="90"/>
      <c r="E928" s="91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90"/>
      <c r="D929" s="90"/>
      <c r="E929" s="91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90"/>
      <c r="D930" s="90"/>
      <c r="E930" s="91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90"/>
      <c r="D931" s="90"/>
      <c r="E931" s="91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90"/>
      <c r="D932" s="90"/>
      <c r="E932" s="91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90"/>
      <c r="D933" s="90"/>
      <c r="E933" s="91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90"/>
      <c r="D934" s="90"/>
      <c r="E934" s="91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90"/>
      <c r="D935" s="90"/>
      <c r="E935" s="91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90"/>
      <c r="D936" s="90"/>
      <c r="E936" s="91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90"/>
      <c r="D937" s="90"/>
      <c r="E937" s="91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90"/>
      <c r="D938" s="90"/>
      <c r="E938" s="91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90"/>
      <c r="D939" s="90"/>
      <c r="E939" s="91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90"/>
      <c r="D940" s="90"/>
      <c r="E940" s="91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90"/>
      <c r="D941" s="90"/>
      <c r="E941" s="91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90"/>
      <c r="D942" s="90"/>
      <c r="E942" s="91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90"/>
      <c r="D943" s="90"/>
      <c r="E943" s="91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90"/>
      <c r="D944" s="90"/>
      <c r="E944" s="91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90"/>
      <c r="D945" s="90"/>
      <c r="E945" s="91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90"/>
      <c r="D946" s="90"/>
      <c r="E946" s="91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90"/>
      <c r="D947" s="90"/>
      <c r="E947" s="91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90"/>
      <c r="D948" s="90"/>
      <c r="E948" s="91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90"/>
      <c r="D949" s="90"/>
      <c r="E949" s="91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90"/>
      <c r="D950" s="90"/>
      <c r="E950" s="91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90"/>
      <c r="D951" s="90"/>
      <c r="E951" s="91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90"/>
      <c r="D952" s="90"/>
      <c r="E952" s="91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90"/>
      <c r="D953" s="90"/>
      <c r="E953" s="91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90"/>
      <c r="D954" s="90"/>
      <c r="E954" s="91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90"/>
      <c r="D955" s="90"/>
      <c r="E955" s="91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90"/>
      <c r="D956" s="90"/>
      <c r="E956" s="91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90"/>
      <c r="D957" s="90"/>
      <c r="E957" s="91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90"/>
      <c r="D958" s="90"/>
      <c r="E958" s="91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90"/>
      <c r="D959" s="90"/>
      <c r="E959" s="91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90"/>
      <c r="D960" s="90"/>
      <c r="E960" s="91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90"/>
      <c r="D961" s="90"/>
      <c r="E961" s="91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90"/>
      <c r="D962" s="90"/>
      <c r="E962" s="91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90"/>
      <c r="D963" s="90"/>
      <c r="E963" s="91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90"/>
      <c r="D964" s="90"/>
      <c r="E964" s="91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90"/>
      <c r="D965" s="90"/>
      <c r="E965" s="91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90"/>
      <c r="D966" s="90"/>
      <c r="E966" s="91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90"/>
      <c r="D967" s="90"/>
      <c r="E967" s="91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90"/>
      <c r="D968" s="90"/>
      <c r="E968" s="91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90"/>
      <c r="D969" s="90"/>
      <c r="E969" s="91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90"/>
      <c r="D970" s="90"/>
      <c r="E970" s="91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90"/>
      <c r="D971" s="90"/>
      <c r="E971" s="91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90"/>
      <c r="D972" s="90"/>
      <c r="E972" s="91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90"/>
      <c r="D973" s="90"/>
      <c r="E973" s="91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90"/>
      <c r="D974" s="90"/>
      <c r="E974" s="91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90"/>
      <c r="D975" s="90"/>
      <c r="E975" s="91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90"/>
      <c r="D976" s="90"/>
      <c r="E976" s="91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90"/>
      <c r="D977" s="90"/>
      <c r="E977" s="91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90"/>
      <c r="D978" s="90"/>
      <c r="E978" s="91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90"/>
      <c r="D979" s="90"/>
      <c r="E979" s="91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90"/>
      <c r="D980" s="90"/>
      <c r="E980" s="91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90"/>
      <c r="D981" s="90"/>
      <c r="E981" s="91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90"/>
      <c r="D982" s="90"/>
      <c r="E982" s="91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90"/>
      <c r="D983" s="90"/>
      <c r="E983" s="91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90"/>
      <c r="D984" s="90"/>
      <c r="E984" s="91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90"/>
      <c r="D985" s="90"/>
      <c r="E985" s="91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90"/>
      <c r="D986" s="90"/>
      <c r="E986" s="91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90"/>
      <c r="D987" s="90"/>
      <c r="E987" s="91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90"/>
      <c r="D988" s="90"/>
      <c r="E988" s="91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90"/>
      <c r="D989" s="90"/>
      <c r="E989" s="91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90"/>
      <c r="D990" s="90"/>
      <c r="E990" s="91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90"/>
      <c r="D991" s="90"/>
      <c r="E991" s="91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90"/>
      <c r="D992" s="90"/>
      <c r="E992" s="91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90"/>
      <c r="D993" s="90"/>
      <c r="E993" s="91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90"/>
      <c r="D994" s="90"/>
      <c r="E994" s="91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90"/>
      <c r="D995" s="90"/>
      <c r="E995" s="91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90"/>
      <c r="D996" s="90"/>
      <c r="E996" s="91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90"/>
      <c r="D997" s="90"/>
      <c r="E997" s="91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90"/>
      <c r="D998" s="90"/>
      <c r="E998" s="91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90"/>
      <c r="D999" s="90"/>
      <c r="E999" s="91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6"/>
      <c r="B1000" s="6"/>
      <c r="C1000" s="90"/>
      <c r="D1000" s="90"/>
      <c r="E1000" s="91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autoFilter ref="$A$1:$F$246"/>
  <hyperlinks>
    <hyperlink r:id="rId2" ref="C123"/>
  </hyperlinks>
  <printOptions/>
  <pageMargins bottom="0.75" footer="0.0" header="0.0" left="0.7" right="0.7" top="0.75"/>
  <pageSetup orientation="landscape"/>
  <drawing r:id="rId3"/>
  <legacy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75"/>
    <col customWidth="1" min="2" max="2" width="13.75"/>
    <col customWidth="1" min="3" max="3" width="25.25"/>
    <col customWidth="1" min="4" max="4" width="21.25"/>
    <col customWidth="1" min="5" max="6" width="14.88"/>
    <col customWidth="1" min="7" max="7" width="12.38"/>
    <col customWidth="1" min="8" max="8" width="18.13"/>
    <col customWidth="1" min="9" max="9" width="16.25"/>
    <col customWidth="1" min="11" max="11" width="24.25"/>
    <col customWidth="1" min="12" max="12" width="24.63"/>
    <col customWidth="1" min="13" max="13" width="22.25"/>
    <col customWidth="1" min="14" max="14" width="32.13"/>
  </cols>
  <sheetData>
    <row r="1" ht="15.75" customHeight="1">
      <c r="A1" s="9" t="s">
        <v>4</v>
      </c>
      <c r="B1" s="14" t="s">
        <v>2</v>
      </c>
      <c r="C1" s="16" t="s">
        <v>10</v>
      </c>
      <c r="D1" s="16" t="s">
        <v>11</v>
      </c>
      <c r="E1" s="16" t="s">
        <v>12</v>
      </c>
      <c r="F1" s="16" t="s">
        <v>13</v>
      </c>
      <c r="G1" s="16" t="s">
        <v>7</v>
      </c>
      <c r="H1" s="16" t="s">
        <v>15</v>
      </c>
      <c r="I1" s="16" t="s">
        <v>17</v>
      </c>
      <c r="J1" s="16" t="s">
        <v>19</v>
      </c>
      <c r="K1" s="16" t="s">
        <v>21</v>
      </c>
      <c r="L1" s="16" t="s">
        <v>23</v>
      </c>
      <c r="M1" s="16" t="s">
        <v>24</v>
      </c>
      <c r="N1" s="16" t="s">
        <v>25</v>
      </c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</row>
    <row r="2" ht="15.75" customHeight="1">
      <c r="A2" s="26">
        <v>1.0</v>
      </c>
      <c r="B2" s="17">
        <v>45802.0</v>
      </c>
      <c r="C2" s="26" t="s">
        <v>34</v>
      </c>
      <c r="D2" s="26">
        <v>9.31511875E9</v>
      </c>
      <c r="E2" s="26" t="s">
        <v>36</v>
      </c>
      <c r="F2" s="26" t="s">
        <v>39</v>
      </c>
      <c r="G2" s="27">
        <v>11000.0</v>
      </c>
      <c r="H2" s="26"/>
      <c r="I2" s="28">
        <v>45658.0</v>
      </c>
      <c r="J2" s="26"/>
      <c r="K2" s="26" t="s">
        <v>45</v>
      </c>
      <c r="L2" s="26" t="s">
        <v>47</v>
      </c>
      <c r="M2" s="26" t="s">
        <v>49</v>
      </c>
      <c r="N2" s="26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</row>
    <row r="3" ht="15.75" customHeight="1">
      <c r="A3" s="26">
        <v>2.0</v>
      </c>
      <c r="B3" s="17">
        <v>45802.0</v>
      </c>
      <c r="C3" s="26" t="s">
        <v>54</v>
      </c>
      <c r="D3" s="26">
        <v>9.910345533E9</v>
      </c>
      <c r="E3" s="26" t="s">
        <v>56</v>
      </c>
      <c r="F3" s="26" t="s">
        <v>39</v>
      </c>
      <c r="G3" s="27">
        <v>11000.0</v>
      </c>
      <c r="H3" s="26"/>
      <c r="I3" s="28">
        <v>45689.0</v>
      </c>
      <c r="J3" s="26"/>
      <c r="K3" s="26" t="s">
        <v>45</v>
      </c>
      <c r="L3" s="26" t="s">
        <v>47</v>
      </c>
      <c r="M3" s="26" t="s">
        <v>54</v>
      </c>
      <c r="N3" s="26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</row>
    <row r="4" ht="15.75" customHeight="1">
      <c r="A4" s="26">
        <v>3.0</v>
      </c>
      <c r="B4" s="17">
        <v>45802.0</v>
      </c>
      <c r="C4" s="26" t="s">
        <v>61</v>
      </c>
      <c r="D4" s="26">
        <v>9.98855666E9</v>
      </c>
      <c r="E4" s="26" t="s">
        <v>62</v>
      </c>
      <c r="F4" s="26" t="s">
        <v>39</v>
      </c>
      <c r="G4" s="27">
        <v>11000.0</v>
      </c>
      <c r="H4" s="26"/>
      <c r="I4" s="28">
        <v>45717.0</v>
      </c>
      <c r="J4" s="26"/>
      <c r="K4" s="26" t="s">
        <v>45</v>
      </c>
      <c r="L4" s="26" t="s">
        <v>47</v>
      </c>
      <c r="M4" s="26" t="s">
        <v>61</v>
      </c>
      <c r="N4" s="26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</row>
    <row r="5" ht="15.75" customHeight="1">
      <c r="A5" s="26">
        <v>4.0</v>
      </c>
      <c r="B5" s="17">
        <v>45802.0</v>
      </c>
      <c r="C5" s="26" t="s">
        <v>66</v>
      </c>
      <c r="D5" s="26">
        <v>9.592339372E9</v>
      </c>
      <c r="E5" s="26" t="s">
        <v>67</v>
      </c>
      <c r="F5" s="26" t="s">
        <v>39</v>
      </c>
      <c r="G5" s="27">
        <v>11000.0</v>
      </c>
      <c r="H5" s="26"/>
      <c r="I5" s="28">
        <v>45748.0</v>
      </c>
      <c r="J5" s="26"/>
      <c r="K5" s="26" t="s">
        <v>45</v>
      </c>
      <c r="L5" s="26" t="s">
        <v>47</v>
      </c>
      <c r="M5" s="26" t="s">
        <v>54</v>
      </c>
      <c r="N5" s="26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</row>
    <row r="6" ht="15.75" customHeight="1">
      <c r="A6" s="26">
        <v>5.0</v>
      </c>
      <c r="B6" s="17">
        <v>45802.0</v>
      </c>
      <c r="C6" s="26" t="s">
        <v>70</v>
      </c>
      <c r="D6" s="26">
        <v>9.8884998E9</v>
      </c>
      <c r="E6" s="26" t="s">
        <v>71</v>
      </c>
      <c r="F6" s="26" t="s">
        <v>39</v>
      </c>
      <c r="G6" s="27">
        <v>11000.0</v>
      </c>
      <c r="H6" s="26"/>
      <c r="I6" s="28">
        <v>45778.0</v>
      </c>
      <c r="J6" s="26"/>
      <c r="K6" s="26" t="s">
        <v>45</v>
      </c>
      <c r="L6" s="26" t="s">
        <v>47</v>
      </c>
      <c r="M6" s="26" t="s">
        <v>70</v>
      </c>
      <c r="N6" s="26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</row>
    <row r="7" ht="15.75" customHeight="1">
      <c r="A7" s="26">
        <v>6.0</v>
      </c>
      <c r="B7" s="17">
        <v>45802.0</v>
      </c>
      <c r="C7" s="26" t="s">
        <v>73</v>
      </c>
      <c r="D7" s="26">
        <v>9.815387986E9</v>
      </c>
      <c r="E7" s="26" t="s">
        <v>74</v>
      </c>
      <c r="F7" s="26" t="s">
        <v>39</v>
      </c>
      <c r="G7" s="27">
        <v>11000.0</v>
      </c>
      <c r="H7" s="26"/>
      <c r="I7" s="28">
        <v>45809.0</v>
      </c>
      <c r="J7" s="26"/>
      <c r="K7" s="26" t="s">
        <v>45</v>
      </c>
      <c r="L7" s="26" t="s">
        <v>47</v>
      </c>
      <c r="M7" s="26" t="s">
        <v>73</v>
      </c>
      <c r="N7" s="26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</row>
    <row r="8" ht="15.75" customHeight="1">
      <c r="A8" s="26">
        <v>7.0</v>
      </c>
      <c r="B8" s="17">
        <v>45802.0</v>
      </c>
      <c r="C8" s="26" t="s">
        <v>77</v>
      </c>
      <c r="D8" s="26">
        <v>9.814488999E9</v>
      </c>
      <c r="E8" s="26" t="s">
        <v>78</v>
      </c>
      <c r="F8" s="26" t="s">
        <v>39</v>
      </c>
      <c r="G8" s="27">
        <v>11000.0</v>
      </c>
      <c r="H8" s="26"/>
      <c r="I8" s="28">
        <v>45839.0</v>
      </c>
      <c r="J8" s="26"/>
      <c r="K8" s="26" t="s">
        <v>45</v>
      </c>
      <c r="L8" s="26" t="s">
        <v>47</v>
      </c>
      <c r="M8" s="26" t="s">
        <v>61</v>
      </c>
      <c r="N8" s="26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</row>
    <row r="9" ht="15.75" customHeight="1">
      <c r="A9" s="26">
        <v>8.0</v>
      </c>
      <c r="B9" s="17">
        <v>45802.0</v>
      </c>
      <c r="C9" s="26" t="s">
        <v>82</v>
      </c>
      <c r="D9" s="26">
        <v>9.814815573E9</v>
      </c>
      <c r="E9" s="26" t="s">
        <v>83</v>
      </c>
      <c r="F9" s="26" t="s">
        <v>39</v>
      </c>
      <c r="G9" s="27">
        <v>11000.0</v>
      </c>
      <c r="H9" s="26"/>
      <c r="I9" s="28">
        <v>45870.0</v>
      </c>
      <c r="J9" s="26"/>
      <c r="K9" s="26" t="s">
        <v>45</v>
      </c>
      <c r="L9" s="26" t="s">
        <v>47</v>
      </c>
      <c r="M9" s="26" t="s">
        <v>54</v>
      </c>
      <c r="N9" s="42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</row>
    <row r="10" ht="15.75" customHeight="1">
      <c r="A10" s="26">
        <v>9.0</v>
      </c>
      <c r="B10" s="17">
        <v>45802.0</v>
      </c>
      <c r="C10" s="26" t="s">
        <v>90</v>
      </c>
      <c r="D10" s="26">
        <v>9.872769299E9</v>
      </c>
      <c r="E10" s="26"/>
      <c r="F10" s="26" t="s">
        <v>39</v>
      </c>
      <c r="G10" s="27">
        <v>11000.0</v>
      </c>
      <c r="H10" s="26"/>
      <c r="I10" s="28">
        <v>45901.0</v>
      </c>
      <c r="J10" s="26"/>
      <c r="K10" s="26" t="s">
        <v>45</v>
      </c>
      <c r="L10" s="26" t="s">
        <v>47</v>
      </c>
      <c r="M10" s="26" t="s">
        <v>49</v>
      </c>
      <c r="N10" s="26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</row>
    <row r="11" ht="15.75" customHeight="1">
      <c r="A11" s="26">
        <v>10.0</v>
      </c>
      <c r="B11" s="17">
        <v>45802.0</v>
      </c>
      <c r="C11" s="26" t="s">
        <v>100</v>
      </c>
      <c r="D11" s="26"/>
      <c r="E11" s="26" t="s">
        <v>101</v>
      </c>
      <c r="F11" s="26" t="s">
        <v>39</v>
      </c>
      <c r="G11" s="27">
        <v>11000.0</v>
      </c>
      <c r="H11" s="26"/>
      <c r="I11" s="28">
        <v>45931.0</v>
      </c>
      <c r="J11" s="26"/>
      <c r="K11" s="26" t="s">
        <v>45</v>
      </c>
      <c r="L11" s="26" t="s">
        <v>47</v>
      </c>
      <c r="M11" s="26" t="s">
        <v>54</v>
      </c>
      <c r="N11" s="26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</row>
    <row r="12" ht="15.75" customHeight="1">
      <c r="A12" s="26">
        <v>11.0</v>
      </c>
      <c r="B12" s="17">
        <v>45802.0</v>
      </c>
      <c r="C12" s="26" t="s">
        <v>106</v>
      </c>
      <c r="D12" s="26">
        <v>9.216779477E9</v>
      </c>
      <c r="E12" s="26" t="s">
        <v>107</v>
      </c>
      <c r="F12" s="26" t="s">
        <v>39</v>
      </c>
      <c r="G12" s="27">
        <v>11000.0</v>
      </c>
      <c r="H12" s="26"/>
      <c r="I12" s="28">
        <v>45962.0</v>
      </c>
      <c r="J12" s="26"/>
      <c r="K12" s="26" t="s">
        <v>45</v>
      </c>
      <c r="L12" s="26" t="s">
        <v>47</v>
      </c>
      <c r="M12" s="26" t="s">
        <v>106</v>
      </c>
      <c r="N12" s="26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</row>
    <row r="13" ht="15.75" customHeight="1">
      <c r="A13" s="26">
        <v>12.0</v>
      </c>
      <c r="B13" s="17">
        <v>45802.0</v>
      </c>
      <c r="C13" s="26" t="s">
        <v>110</v>
      </c>
      <c r="D13" s="26"/>
      <c r="E13" s="26" t="s">
        <v>111</v>
      </c>
      <c r="F13" s="26" t="s">
        <v>39</v>
      </c>
      <c r="G13" s="27">
        <v>2100.0</v>
      </c>
      <c r="H13" s="26"/>
      <c r="I13" s="28">
        <v>45992.0</v>
      </c>
      <c r="J13" s="26"/>
      <c r="K13" s="26" t="s">
        <v>45</v>
      </c>
      <c r="L13" s="26" t="s">
        <v>47</v>
      </c>
      <c r="M13" s="26" t="s">
        <v>54</v>
      </c>
      <c r="N13" s="26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</row>
    <row r="14" ht="15.75" customHeight="1">
      <c r="A14" s="26">
        <v>13.0</v>
      </c>
      <c r="B14" s="17">
        <v>45808.0</v>
      </c>
      <c r="C14" s="26" t="s">
        <v>114</v>
      </c>
      <c r="D14" s="26"/>
      <c r="E14" s="26" t="s">
        <v>116</v>
      </c>
      <c r="F14" s="26" t="s">
        <v>117</v>
      </c>
      <c r="G14" s="27">
        <v>7000.0</v>
      </c>
      <c r="H14" s="26">
        <v>5.15104643031E11</v>
      </c>
      <c r="I14" s="26" t="s">
        <v>118</v>
      </c>
      <c r="J14" s="26" t="s">
        <v>120</v>
      </c>
      <c r="K14" s="26" t="s">
        <v>73</v>
      </c>
      <c r="L14" s="26" t="s">
        <v>47</v>
      </c>
      <c r="M14" s="26" t="s">
        <v>121</v>
      </c>
      <c r="N14" s="26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</row>
    <row r="15" ht="15.75" customHeight="1">
      <c r="A15" s="26">
        <v>14.0</v>
      </c>
      <c r="B15" s="17">
        <v>45808.0</v>
      </c>
      <c r="C15" s="26" t="s">
        <v>124</v>
      </c>
      <c r="D15" s="26"/>
      <c r="E15" s="26" t="s">
        <v>125</v>
      </c>
      <c r="F15" s="26" t="s">
        <v>117</v>
      </c>
      <c r="G15" s="27">
        <v>14000.0</v>
      </c>
      <c r="H15" s="26"/>
      <c r="I15" s="26" t="s">
        <v>127</v>
      </c>
      <c r="J15" s="26" t="s">
        <v>128</v>
      </c>
      <c r="K15" s="26" t="s">
        <v>129</v>
      </c>
      <c r="L15" s="26" t="s">
        <v>47</v>
      </c>
      <c r="M15" s="26" t="s">
        <v>131</v>
      </c>
      <c r="N15" s="26" t="s">
        <v>132</v>
      </c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</row>
    <row r="16" ht="15.75" customHeight="1">
      <c r="A16" s="26">
        <v>15.0</v>
      </c>
      <c r="B16" s="17">
        <v>45809.0</v>
      </c>
      <c r="C16" s="26" t="s">
        <v>136</v>
      </c>
      <c r="D16" s="26"/>
      <c r="E16" s="26" t="s">
        <v>139</v>
      </c>
      <c r="F16" s="26" t="s">
        <v>117</v>
      </c>
      <c r="G16" s="27">
        <v>11000.0</v>
      </c>
      <c r="H16" s="26"/>
      <c r="I16" s="26" t="s">
        <v>140</v>
      </c>
      <c r="J16" s="26"/>
      <c r="K16" s="26" t="s">
        <v>129</v>
      </c>
      <c r="L16" s="26" t="s">
        <v>47</v>
      </c>
      <c r="M16" s="26" t="s">
        <v>49</v>
      </c>
      <c r="N16" s="26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</row>
    <row r="17" ht="15.75" customHeight="1">
      <c r="A17" s="26">
        <v>16.0</v>
      </c>
      <c r="B17" s="17">
        <v>45809.0</v>
      </c>
      <c r="C17" s="26" t="s">
        <v>145</v>
      </c>
      <c r="D17" s="26"/>
      <c r="E17" s="26"/>
      <c r="F17" s="26" t="s">
        <v>39</v>
      </c>
      <c r="G17" s="27">
        <v>1100.0</v>
      </c>
      <c r="H17" s="26"/>
      <c r="I17" s="26" t="s">
        <v>147</v>
      </c>
      <c r="J17" s="26"/>
      <c r="K17" s="26" t="s">
        <v>45</v>
      </c>
      <c r="L17" s="26" t="s">
        <v>47</v>
      </c>
      <c r="M17" s="26" t="s">
        <v>121</v>
      </c>
      <c r="N17" s="26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</row>
    <row r="18" ht="15.75" customHeight="1">
      <c r="A18" s="26">
        <v>17.0</v>
      </c>
      <c r="B18" s="17">
        <v>45810.0</v>
      </c>
      <c r="C18" s="26" t="s">
        <v>150</v>
      </c>
      <c r="D18" s="26"/>
      <c r="E18" s="26" t="s">
        <v>152</v>
      </c>
      <c r="F18" s="26" t="s">
        <v>39</v>
      </c>
      <c r="G18" s="27">
        <v>5000.0</v>
      </c>
      <c r="H18" s="26"/>
      <c r="I18" s="26" t="s">
        <v>155</v>
      </c>
      <c r="J18" s="26"/>
      <c r="K18" s="26" t="s">
        <v>45</v>
      </c>
      <c r="L18" s="26" t="s">
        <v>47</v>
      </c>
      <c r="M18" s="26" t="s">
        <v>158</v>
      </c>
      <c r="N18" s="26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</row>
    <row r="19" ht="15.75" customHeight="1">
      <c r="A19" s="26">
        <v>18.0</v>
      </c>
      <c r="B19" s="17">
        <v>45810.0</v>
      </c>
      <c r="C19" s="26" t="s">
        <v>161</v>
      </c>
      <c r="D19" s="26"/>
      <c r="E19" s="26" t="s">
        <v>162</v>
      </c>
      <c r="F19" s="26" t="s">
        <v>39</v>
      </c>
      <c r="G19" s="27">
        <v>5100.0</v>
      </c>
      <c r="H19" s="26"/>
      <c r="I19" s="26" t="s">
        <v>164</v>
      </c>
      <c r="J19" s="26"/>
      <c r="K19" s="26" t="s">
        <v>45</v>
      </c>
      <c r="L19" s="26" t="s">
        <v>47</v>
      </c>
      <c r="M19" s="26" t="s">
        <v>61</v>
      </c>
      <c r="N19" s="26" t="s">
        <v>166</v>
      </c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</row>
    <row r="20" ht="15.75" customHeight="1">
      <c r="A20" s="26">
        <v>19.0</v>
      </c>
      <c r="B20" s="17">
        <v>45810.0</v>
      </c>
      <c r="C20" s="26" t="s">
        <v>145</v>
      </c>
      <c r="D20" s="26"/>
      <c r="E20" s="26"/>
      <c r="F20" s="26" t="s">
        <v>39</v>
      </c>
      <c r="G20" s="27">
        <v>1100.0</v>
      </c>
      <c r="H20" s="26"/>
      <c r="I20" s="26" t="s">
        <v>170</v>
      </c>
      <c r="J20" s="26"/>
      <c r="K20" s="26" t="s">
        <v>174</v>
      </c>
      <c r="L20" s="26" t="s">
        <v>47</v>
      </c>
      <c r="M20" s="26" t="s">
        <v>106</v>
      </c>
      <c r="N20" s="26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</row>
    <row r="21" ht="15.75" customHeight="1">
      <c r="A21" s="26">
        <v>20.0</v>
      </c>
      <c r="B21" s="17">
        <v>45810.0</v>
      </c>
      <c r="C21" s="26" t="s">
        <v>179</v>
      </c>
      <c r="D21" s="26"/>
      <c r="E21" s="26" t="s">
        <v>181</v>
      </c>
      <c r="F21" s="26" t="s">
        <v>39</v>
      </c>
      <c r="G21" s="27">
        <v>5100.0</v>
      </c>
      <c r="H21" s="26"/>
      <c r="I21" s="26" t="s">
        <v>183</v>
      </c>
      <c r="J21" s="26"/>
      <c r="K21" s="26" t="s">
        <v>174</v>
      </c>
      <c r="L21" s="26" t="s">
        <v>47</v>
      </c>
      <c r="M21" s="26" t="s">
        <v>106</v>
      </c>
      <c r="N21" s="26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</row>
    <row r="22" ht="15.75" customHeight="1">
      <c r="A22" s="26">
        <v>21.0</v>
      </c>
      <c r="B22" s="17">
        <v>45810.0</v>
      </c>
      <c r="C22" s="26" t="s">
        <v>185</v>
      </c>
      <c r="D22" s="26"/>
      <c r="E22" s="26" t="s">
        <v>187</v>
      </c>
      <c r="F22" s="26" t="s">
        <v>39</v>
      </c>
      <c r="G22" s="27">
        <v>11000.0</v>
      </c>
      <c r="H22" s="26"/>
      <c r="I22" s="26" t="s">
        <v>190</v>
      </c>
      <c r="J22" s="26"/>
      <c r="K22" s="26" t="s">
        <v>45</v>
      </c>
      <c r="L22" s="26" t="s">
        <v>47</v>
      </c>
      <c r="M22" s="26" t="s">
        <v>61</v>
      </c>
      <c r="N22" s="26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</row>
    <row r="23" ht="15.75" customHeight="1">
      <c r="A23" s="26">
        <v>22.0</v>
      </c>
      <c r="B23" s="17">
        <v>45810.0</v>
      </c>
      <c r="C23" s="26" t="s">
        <v>145</v>
      </c>
      <c r="D23" s="26"/>
      <c r="E23" s="26"/>
      <c r="F23" s="26" t="s">
        <v>39</v>
      </c>
      <c r="G23" s="27">
        <v>1000.0</v>
      </c>
      <c r="H23" s="26"/>
      <c r="I23" s="26" t="s">
        <v>196</v>
      </c>
      <c r="J23" s="26"/>
      <c r="K23" s="26" t="s">
        <v>45</v>
      </c>
      <c r="L23" s="26" t="s">
        <v>47</v>
      </c>
      <c r="M23" s="26" t="s">
        <v>158</v>
      </c>
      <c r="N23" s="26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</row>
    <row r="24" ht="15.75" customHeight="1">
      <c r="A24" s="26">
        <v>23.0</v>
      </c>
      <c r="B24" s="17">
        <v>45810.0</v>
      </c>
      <c r="C24" s="26" t="s">
        <v>198</v>
      </c>
      <c r="D24" s="26"/>
      <c r="E24" s="26" t="s">
        <v>200</v>
      </c>
      <c r="F24" s="26" t="s">
        <v>117</v>
      </c>
      <c r="G24" s="27">
        <v>5200.0</v>
      </c>
      <c r="H24" s="26"/>
      <c r="I24" s="26" t="s">
        <v>201</v>
      </c>
      <c r="J24" s="26"/>
      <c r="K24" s="26" t="s">
        <v>129</v>
      </c>
      <c r="L24" s="26" t="s">
        <v>47</v>
      </c>
      <c r="M24" s="26" t="s">
        <v>121</v>
      </c>
      <c r="N24" s="26"/>
      <c r="O24" s="58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</row>
    <row r="25" ht="15.75" customHeight="1">
      <c r="A25" s="26">
        <v>24.0</v>
      </c>
      <c r="B25" s="17">
        <v>45810.0</v>
      </c>
      <c r="C25" s="26" t="s">
        <v>207</v>
      </c>
      <c r="D25" s="26"/>
      <c r="E25" s="26" t="s">
        <v>208</v>
      </c>
      <c r="F25" s="26" t="s">
        <v>117</v>
      </c>
      <c r="G25" s="27">
        <v>500.0</v>
      </c>
      <c r="H25" s="26"/>
      <c r="I25" s="26" t="s">
        <v>210</v>
      </c>
      <c r="J25" s="26"/>
      <c r="K25" s="26" t="s">
        <v>129</v>
      </c>
      <c r="L25" s="26" t="s">
        <v>47</v>
      </c>
      <c r="M25" s="26" t="s">
        <v>121</v>
      </c>
      <c r="N25" s="26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</row>
    <row r="26" ht="15.75" customHeight="1">
      <c r="A26" s="26">
        <v>25.0</v>
      </c>
      <c r="B26" s="17">
        <v>45810.0</v>
      </c>
      <c r="C26" s="26" t="s">
        <v>213</v>
      </c>
      <c r="D26" s="26"/>
      <c r="E26" s="26"/>
      <c r="F26" s="26" t="s">
        <v>39</v>
      </c>
      <c r="G26" s="27">
        <v>11001.0</v>
      </c>
      <c r="H26" s="26"/>
      <c r="I26" s="26" t="s">
        <v>215</v>
      </c>
      <c r="J26" s="26"/>
      <c r="K26" s="26" t="s">
        <v>129</v>
      </c>
      <c r="L26" s="26" t="s">
        <v>47</v>
      </c>
      <c r="M26" s="26" t="s">
        <v>49</v>
      </c>
      <c r="N26" s="26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</row>
    <row r="27" ht="15.75" customHeight="1">
      <c r="A27" s="26">
        <v>26.0</v>
      </c>
      <c r="B27" s="17">
        <v>45811.0</v>
      </c>
      <c r="C27" s="26" t="s">
        <v>145</v>
      </c>
      <c r="D27" s="26"/>
      <c r="E27" s="26"/>
      <c r="F27" s="26" t="s">
        <v>39</v>
      </c>
      <c r="G27" s="27">
        <v>5100.0</v>
      </c>
      <c r="H27" s="26"/>
      <c r="I27" s="26" t="s">
        <v>224</v>
      </c>
      <c r="J27" s="26"/>
      <c r="K27" s="26" t="s">
        <v>129</v>
      </c>
      <c r="L27" s="26" t="s">
        <v>47</v>
      </c>
      <c r="M27" s="26" t="s">
        <v>121</v>
      </c>
      <c r="N27" s="26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</row>
    <row r="28" ht="15.75" customHeight="1">
      <c r="A28" s="26">
        <v>27.0</v>
      </c>
      <c r="B28" s="17">
        <v>45812.0</v>
      </c>
      <c r="C28" s="26" t="s">
        <v>228</v>
      </c>
      <c r="D28" s="26"/>
      <c r="E28" s="26" t="s">
        <v>229</v>
      </c>
      <c r="F28" s="26" t="s">
        <v>39</v>
      </c>
      <c r="G28" s="27">
        <v>5100.0</v>
      </c>
      <c r="H28" s="26"/>
      <c r="I28" s="26" t="s">
        <v>231</v>
      </c>
      <c r="J28" s="26"/>
      <c r="K28" s="26" t="s">
        <v>73</v>
      </c>
      <c r="L28" s="26" t="s">
        <v>47</v>
      </c>
      <c r="M28" s="26" t="s">
        <v>73</v>
      </c>
      <c r="N28" s="26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</row>
    <row r="29" ht="15.75" customHeight="1">
      <c r="A29" s="26">
        <v>28.0</v>
      </c>
      <c r="B29" s="17">
        <v>45812.0</v>
      </c>
      <c r="C29" s="26" t="s">
        <v>238</v>
      </c>
      <c r="D29" s="26"/>
      <c r="E29" s="26" t="s">
        <v>241</v>
      </c>
      <c r="F29" s="26" t="s">
        <v>39</v>
      </c>
      <c r="G29" s="27">
        <v>2100.0</v>
      </c>
      <c r="H29" s="26"/>
      <c r="I29" s="26" t="s">
        <v>243</v>
      </c>
      <c r="J29" s="26"/>
      <c r="K29" s="26" t="s">
        <v>174</v>
      </c>
      <c r="L29" s="26" t="s">
        <v>47</v>
      </c>
      <c r="M29" s="26" t="s">
        <v>106</v>
      </c>
      <c r="N29" s="26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</row>
    <row r="30" ht="15.75" customHeight="1">
      <c r="A30" s="26">
        <v>29.0</v>
      </c>
      <c r="B30" s="17">
        <v>45812.0</v>
      </c>
      <c r="C30" s="26" t="s">
        <v>249</v>
      </c>
      <c r="D30" s="26"/>
      <c r="E30" s="26" t="s">
        <v>251</v>
      </c>
      <c r="F30" s="26" t="s">
        <v>39</v>
      </c>
      <c r="G30" s="27">
        <v>501.0</v>
      </c>
      <c r="H30" s="26"/>
      <c r="I30" s="26" t="s">
        <v>253</v>
      </c>
      <c r="J30" s="26"/>
      <c r="K30" s="26" t="s">
        <v>174</v>
      </c>
      <c r="L30" s="26" t="s">
        <v>47</v>
      </c>
      <c r="M30" s="26" t="s">
        <v>106</v>
      </c>
      <c r="N30" s="26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</row>
    <row r="31" ht="15.75" customHeight="1">
      <c r="A31" s="26">
        <v>30.0</v>
      </c>
      <c r="B31" s="17">
        <v>45812.0</v>
      </c>
      <c r="C31" s="26" t="s">
        <v>260</v>
      </c>
      <c r="D31" s="26"/>
      <c r="E31" s="26" t="s">
        <v>262</v>
      </c>
      <c r="F31" s="26" t="s">
        <v>39</v>
      </c>
      <c r="G31" s="27">
        <v>5100.0</v>
      </c>
      <c r="H31" s="26"/>
      <c r="I31" s="26" t="s">
        <v>264</v>
      </c>
      <c r="J31" s="26"/>
      <c r="K31" s="26" t="s">
        <v>45</v>
      </c>
      <c r="L31" s="26" t="s">
        <v>47</v>
      </c>
      <c r="M31" s="26" t="s">
        <v>61</v>
      </c>
      <c r="N31" s="26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</row>
    <row r="32" ht="15.75" customHeight="1">
      <c r="A32" s="26">
        <v>31.0</v>
      </c>
      <c r="B32" s="17">
        <v>45812.0</v>
      </c>
      <c r="C32" s="26" t="s">
        <v>269</v>
      </c>
      <c r="D32" s="26"/>
      <c r="E32" s="26" t="s">
        <v>270</v>
      </c>
      <c r="F32" s="26" t="s">
        <v>39</v>
      </c>
      <c r="G32" s="27">
        <v>5100.0</v>
      </c>
      <c r="H32" s="26"/>
      <c r="I32" s="26" t="s">
        <v>273</v>
      </c>
      <c r="J32" s="26"/>
      <c r="K32" s="26" t="s">
        <v>70</v>
      </c>
      <c r="L32" s="26" t="s">
        <v>47</v>
      </c>
      <c r="M32" s="26" t="s">
        <v>70</v>
      </c>
      <c r="N32" s="26" t="s">
        <v>275</v>
      </c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</row>
    <row r="33" ht="15.75" customHeight="1">
      <c r="A33" s="26">
        <v>32.0</v>
      </c>
      <c r="B33" s="17">
        <v>45812.0</v>
      </c>
      <c r="C33" s="26" t="s">
        <v>280</v>
      </c>
      <c r="D33" s="26"/>
      <c r="E33" s="26" t="s">
        <v>270</v>
      </c>
      <c r="F33" s="26" t="s">
        <v>39</v>
      </c>
      <c r="G33" s="27">
        <v>2100.0</v>
      </c>
      <c r="H33" s="26"/>
      <c r="I33" s="26" t="s">
        <v>284</v>
      </c>
      <c r="J33" s="26"/>
      <c r="K33" s="26" t="s">
        <v>70</v>
      </c>
      <c r="L33" s="26" t="s">
        <v>47</v>
      </c>
      <c r="M33" s="26" t="s">
        <v>70</v>
      </c>
      <c r="N33" s="26" t="s">
        <v>287</v>
      </c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</row>
    <row r="34" ht="15.75" customHeight="1">
      <c r="A34" s="26">
        <v>33.0</v>
      </c>
      <c r="B34" s="17">
        <v>45812.0</v>
      </c>
      <c r="C34" s="26" t="s">
        <v>292</v>
      </c>
      <c r="D34" s="26"/>
      <c r="E34" s="26" t="s">
        <v>270</v>
      </c>
      <c r="F34" s="26" t="s">
        <v>39</v>
      </c>
      <c r="G34" s="27">
        <v>1100.0</v>
      </c>
      <c r="H34" s="26"/>
      <c r="I34" s="26" t="s">
        <v>295</v>
      </c>
      <c r="J34" s="26"/>
      <c r="K34" s="26" t="s">
        <v>70</v>
      </c>
      <c r="L34" s="26" t="s">
        <v>47</v>
      </c>
      <c r="M34" s="26" t="s">
        <v>70</v>
      </c>
      <c r="N34" s="26" t="s">
        <v>298</v>
      </c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</row>
    <row r="35" ht="15.75" customHeight="1">
      <c r="A35" s="26">
        <v>34.0</v>
      </c>
      <c r="B35" s="17">
        <v>45812.0</v>
      </c>
      <c r="C35" s="26" t="s">
        <v>305</v>
      </c>
      <c r="D35" s="26"/>
      <c r="E35" s="26" t="s">
        <v>306</v>
      </c>
      <c r="F35" s="26" t="s">
        <v>39</v>
      </c>
      <c r="G35" s="27">
        <v>5100.0</v>
      </c>
      <c r="H35" s="26"/>
      <c r="I35" s="26" t="s">
        <v>309</v>
      </c>
      <c r="J35" s="26"/>
      <c r="K35" s="26" t="s">
        <v>310</v>
      </c>
      <c r="L35" s="26" t="s">
        <v>47</v>
      </c>
      <c r="M35" s="26" t="s">
        <v>313</v>
      </c>
      <c r="N35" s="26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</row>
    <row r="36" ht="15.75" customHeight="1">
      <c r="A36" s="26">
        <v>35.0</v>
      </c>
      <c r="B36" s="17">
        <v>45812.0</v>
      </c>
      <c r="C36" s="26" t="s">
        <v>316</v>
      </c>
      <c r="D36" s="26"/>
      <c r="E36" s="26" t="s">
        <v>319</v>
      </c>
      <c r="F36" s="26" t="s">
        <v>39</v>
      </c>
      <c r="G36" s="27">
        <v>2100.0</v>
      </c>
      <c r="H36" s="26"/>
      <c r="I36" s="26" t="s">
        <v>320</v>
      </c>
      <c r="J36" s="26"/>
      <c r="K36" s="26" t="s">
        <v>310</v>
      </c>
      <c r="L36" s="26" t="s">
        <v>47</v>
      </c>
      <c r="M36" s="26" t="s">
        <v>313</v>
      </c>
      <c r="N36" s="26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</row>
    <row r="37" ht="15.75" customHeight="1">
      <c r="A37" s="26">
        <v>36.0</v>
      </c>
      <c r="B37" s="17">
        <v>45812.0</v>
      </c>
      <c r="C37" s="26" t="s">
        <v>327</v>
      </c>
      <c r="D37" s="26"/>
      <c r="E37" s="26" t="s">
        <v>329</v>
      </c>
      <c r="F37" s="26" t="s">
        <v>39</v>
      </c>
      <c r="G37" s="27">
        <v>2100.0</v>
      </c>
      <c r="H37" s="26"/>
      <c r="I37" s="26" t="s">
        <v>331</v>
      </c>
      <c r="J37" s="26"/>
      <c r="K37" s="26" t="s">
        <v>310</v>
      </c>
      <c r="L37" s="26" t="s">
        <v>47</v>
      </c>
      <c r="M37" s="26" t="s">
        <v>313</v>
      </c>
      <c r="N37" s="26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</row>
    <row r="38" ht="15.75" customHeight="1">
      <c r="A38" s="26">
        <v>37.0</v>
      </c>
      <c r="B38" s="17">
        <v>45812.0</v>
      </c>
      <c r="C38" s="26" t="s">
        <v>338</v>
      </c>
      <c r="D38" s="26"/>
      <c r="E38" s="26" t="s">
        <v>339</v>
      </c>
      <c r="F38" s="26" t="s">
        <v>39</v>
      </c>
      <c r="G38" s="27">
        <v>2100.0</v>
      </c>
      <c r="H38" s="26"/>
      <c r="I38" s="26" t="s">
        <v>342</v>
      </c>
      <c r="J38" s="26"/>
      <c r="K38" s="26" t="s">
        <v>310</v>
      </c>
      <c r="L38" s="26" t="s">
        <v>47</v>
      </c>
      <c r="M38" s="26" t="s">
        <v>313</v>
      </c>
      <c r="N38" s="26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</row>
    <row r="39" ht="15.75" customHeight="1">
      <c r="A39" s="26">
        <v>38.0</v>
      </c>
      <c r="B39" s="17">
        <v>45812.0</v>
      </c>
      <c r="C39" s="26" t="s">
        <v>350</v>
      </c>
      <c r="D39" s="26"/>
      <c r="E39" s="26" t="s">
        <v>353</v>
      </c>
      <c r="F39" s="26" t="s">
        <v>39</v>
      </c>
      <c r="G39" s="27">
        <v>1100.0</v>
      </c>
      <c r="H39" s="26"/>
      <c r="I39" s="26" t="s">
        <v>355</v>
      </c>
      <c r="J39" s="26"/>
      <c r="K39" s="26" t="s">
        <v>310</v>
      </c>
      <c r="L39" s="26" t="s">
        <v>47</v>
      </c>
      <c r="M39" s="26" t="s">
        <v>313</v>
      </c>
      <c r="N39" s="26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</row>
    <row r="40" ht="15.75" customHeight="1">
      <c r="A40" s="26">
        <v>39.0</v>
      </c>
      <c r="B40" s="17">
        <v>45812.0</v>
      </c>
      <c r="C40" s="26" t="s">
        <v>361</v>
      </c>
      <c r="D40" s="26"/>
      <c r="E40" s="26" t="s">
        <v>363</v>
      </c>
      <c r="F40" s="26" t="s">
        <v>39</v>
      </c>
      <c r="G40" s="27">
        <v>1100.0</v>
      </c>
      <c r="H40" s="26"/>
      <c r="I40" s="26" t="s">
        <v>365</v>
      </c>
      <c r="J40" s="26"/>
      <c r="K40" s="26" t="s">
        <v>310</v>
      </c>
      <c r="L40" s="26" t="s">
        <v>47</v>
      </c>
      <c r="M40" s="26" t="s">
        <v>313</v>
      </c>
      <c r="N40" s="26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</row>
    <row r="41" ht="15.75" customHeight="1">
      <c r="A41" s="26">
        <v>40.0</v>
      </c>
      <c r="B41" s="17">
        <v>45812.0</v>
      </c>
      <c r="C41" s="26" t="s">
        <v>374</v>
      </c>
      <c r="D41" s="26"/>
      <c r="E41" s="26" t="s">
        <v>377</v>
      </c>
      <c r="F41" s="26" t="s">
        <v>39</v>
      </c>
      <c r="G41" s="27">
        <v>1100.0</v>
      </c>
      <c r="H41" s="26"/>
      <c r="I41" s="26" t="s">
        <v>385</v>
      </c>
      <c r="J41" s="26"/>
      <c r="K41" s="26" t="s">
        <v>310</v>
      </c>
      <c r="L41" s="26" t="s">
        <v>47</v>
      </c>
      <c r="M41" s="26" t="s">
        <v>313</v>
      </c>
      <c r="N41" s="26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</row>
    <row r="42" ht="15.75" customHeight="1">
      <c r="A42" s="26">
        <v>41.0</v>
      </c>
      <c r="B42" s="17">
        <v>45812.0</v>
      </c>
      <c r="C42" s="26" t="s">
        <v>393</v>
      </c>
      <c r="D42" s="26"/>
      <c r="E42" s="26" t="s">
        <v>395</v>
      </c>
      <c r="F42" s="26" t="s">
        <v>39</v>
      </c>
      <c r="G42" s="27">
        <v>500.0</v>
      </c>
      <c r="H42" s="26"/>
      <c r="I42" s="26" t="s">
        <v>398</v>
      </c>
      <c r="J42" s="26"/>
      <c r="K42" s="26" t="s">
        <v>310</v>
      </c>
      <c r="L42" s="26" t="s">
        <v>47</v>
      </c>
      <c r="M42" s="26" t="s">
        <v>313</v>
      </c>
      <c r="N42" s="26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</row>
    <row r="43" ht="15.75" customHeight="1">
      <c r="A43" s="26">
        <v>42.0</v>
      </c>
      <c r="B43" s="17">
        <v>45812.0</v>
      </c>
      <c r="C43" s="26" t="s">
        <v>404</v>
      </c>
      <c r="D43" s="26"/>
      <c r="E43" s="26" t="s">
        <v>406</v>
      </c>
      <c r="F43" s="26" t="s">
        <v>39</v>
      </c>
      <c r="G43" s="27">
        <v>500.0</v>
      </c>
      <c r="H43" s="26"/>
      <c r="I43" s="26" t="s">
        <v>408</v>
      </c>
      <c r="J43" s="26"/>
      <c r="K43" s="26" t="s">
        <v>310</v>
      </c>
      <c r="L43" s="26" t="s">
        <v>47</v>
      </c>
      <c r="M43" s="26" t="s">
        <v>313</v>
      </c>
      <c r="N43" s="26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</row>
    <row r="44" ht="15.75" customHeight="1">
      <c r="A44" s="26">
        <v>43.0</v>
      </c>
      <c r="B44" s="17">
        <v>45812.0</v>
      </c>
      <c r="C44" s="26" t="s">
        <v>419</v>
      </c>
      <c r="D44" s="26"/>
      <c r="E44" s="26" t="s">
        <v>421</v>
      </c>
      <c r="F44" s="26" t="s">
        <v>39</v>
      </c>
      <c r="G44" s="27">
        <v>500.0</v>
      </c>
      <c r="H44" s="26"/>
      <c r="I44" s="26" t="s">
        <v>423</v>
      </c>
      <c r="J44" s="26"/>
      <c r="K44" s="26" t="s">
        <v>310</v>
      </c>
      <c r="L44" s="26" t="s">
        <v>47</v>
      </c>
      <c r="M44" s="26" t="s">
        <v>313</v>
      </c>
      <c r="N44" s="26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</row>
    <row r="45" ht="15.75" customHeight="1">
      <c r="A45" s="26">
        <v>44.0</v>
      </c>
      <c r="B45" s="17">
        <v>45812.0</v>
      </c>
      <c r="C45" s="26" t="s">
        <v>428</v>
      </c>
      <c r="D45" s="26"/>
      <c r="E45" s="26" t="s">
        <v>430</v>
      </c>
      <c r="F45" s="26" t="s">
        <v>39</v>
      </c>
      <c r="G45" s="27">
        <v>1100.0</v>
      </c>
      <c r="H45" s="26"/>
      <c r="I45" s="26" t="s">
        <v>432</v>
      </c>
      <c r="J45" s="26"/>
      <c r="K45" s="26" t="s">
        <v>310</v>
      </c>
      <c r="L45" s="26" t="s">
        <v>47</v>
      </c>
      <c r="M45" s="26" t="s">
        <v>313</v>
      </c>
      <c r="N45" s="26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</row>
    <row r="46" ht="15.75" customHeight="1">
      <c r="A46" s="26">
        <v>45.0</v>
      </c>
      <c r="B46" s="17">
        <v>45812.0</v>
      </c>
      <c r="C46" s="26" t="s">
        <v>436</v>
      </c>
      <c r="D46" s="26"/>
      <c r="E46" s="26" t="s">
        <v>437</v>
      </c>
      <c r="F46" s="26" t="s">
        <v>39</v>
      </c>
      <c r="G46" s="27">
        <v>500.0</v>
      </c>
      <c r="H46" s="26"/>
      <c r="I46" s="26" t="s">
        <v>438</v>
      </c>
      <c r="J46" s="26"/>
      <c r="K46" s="26" t="s">
        <v>310</v>
      </c>
      <c r="L46" s="26" t="s">
        <v>47</v>
      </c>
      <c r="M46" s="26" t="s">
        <v>313</v>
      </c>
      <c r="N46" s="26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</row>
    <row r="47" ht="15.75" customHeight="1">
      <c r="A47" s="26">
        <v>46.0</v>
      </c>
      <c r="B47" s="17">
        <v>45812.0</v>
      </c>
      <c r="C47" s="26" t="s">
        <v>444</v>
      </c>
      <c r="D47" s="26"/>
      <c r="E47" s="26" t="s">
        <v>445</v>
      </c>
      <c r="F47" s="26" t="s">
        <v>39</v>
      </c>
      <c r="G47" s="27">
        <v>500.0</v>
      </c>
      <c r="H47" s="26"/>
      <c r="I47" s="26" t="s">
        <v>447</v>
      </c>
      <c r="J47" s="26"/>
      <c r="K47" s="26" t="s">
        <v>310</v>
      </c>
      <c r="L47" s="26" t="s">
        <v>47</v>
      </c>
      <c r="M47" s="26" t="s">
        <v>313</v>
      </c>
      <c r="N47" s="26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</row>
    <row r="48" ht="15.75" customHeight="1">
      <c r="A48" s="26">
        <v>47.0</v>
      </c>
      <c r="B48" s="17">
        <v>45812.0</v>
      </c>
      <c r="C48" s="26" t="s">
        <v>145</v>
      </c>
      <c r="D48" s="26"/>
      <c r="E48" s="26" t="s">
        <v>452</v>
      </c>
      <c r="F48" s="26" t="s">
        <v>39</v>
      </c>
      <c r="G48" s="27">
        <v>500.0</v>
      </c>
      <c r="H48" s="26"/>
      <c r="I48" s="26" t="s">
        <v>454</v>
      </c>
      <c r="J48" s="26"/>
      <c r="K48" s="26" t="s">
        <v>310</v>
      </c>
      <c r="L48" s="26" t="s">
        <v>47</v>
      </c>
      <c r="M48" s="26" t="s">
        <v>313</v>
      </c>
      <c r="N48" s="26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</row>
    <row r="49" ht="15.75" customHeight="1">
      <c r="A49" s="26">
        <v>48.0</v>
      </c>
      <c r="B49" s="17">
        <v>45812.0</v>
      </c>
      <c r="C49" s="26" t="s">
        <v>462</v>
      </c>
      <c r="D49" s="26"/>
      <c r="E49" s="26" t="s">
        <v>463</v>
      </c>
      <c r="F49" s="26" t="s">
        <v>39</v>
      </c>
      <c r="G49" s="27">
        <v>500.0</v>
      </c>
      <c r="H49" s="26"/>
      <c r="I49" s="26" t="s">
        <v>467</v>
      </c>
      <c r="J49" s="26"/>
      <c r="K49" s="26" t="s">
        <v>310</v>
      </c>
      <c r="L49" s="26" t="s">
        <v>47</v>
      </c>
      <c r="M49" s="26" t="s">
        <v>313</v>
      </c>
      <c r="N49" s="26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</row>
    <row r="50" ht="15.75" customHeight="1">
      <c r="A50" s="26">
        <v>49.0</v>
      </c>
      <c r="B50" s="17">
        <v>45812.0</v>
      </c>
      <c r="C50" s="26" t="s">
        <v>473</v>
      </c>
      <c r="D50" s="26"/>
      <c r="E50" s="26" t="s">
        <v>475</v>
      </c>
      <c r="F50" s="26" t="s">
        <v>39</v>
      </c>
      <c r="G50" s="27">
        <v>500.0</v>
      </c>
      <c r="H50" s="26"/>
      <c r="I50" s="26" t="s">
        <v>478</v>
      </c>
      <c r="J50" s="26"/>
      <c r="K50" s="26" t="s">
        <v>310</v>
      </c>
      <c r="L50" s="26" t="s">
        <v>47</v>
      </c>
      <c r="M50" s="26" t="s">
        <v>313</v>
      </c>
      <c r="N50" s="26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</row>
    <row r="51" ht="15.75" customHeight="1">
      <c r="A51" s="26">
        <v>50.0</v>
      </c>
      <c r="B51" s="17">
        <v>45812.0</v>
      </c>
      <c r="C51" s="26" t="s">
        <v>486</v>
      </c>
      <c r="D51" s="26"/>
      <c r="E51" s="26" t="s">
        <v>487</v>
      </c>
      <c r="F51" s="26" t="s">
        <v>39</v>
      </c>
      <c r="G51" s="27">
        <v>200.0</v>
      </c>
      <c r="H51" s="26"/>
      <c r="I51" s="28">
        <v>45659.0</v>
      </c>
      <c r="J51" s="26"/>
      <c r="K51" s="26" t="s">
        <v>310</v>
      </c>
      <c r="L51" s="26" t="s">
        <v>47</v>
      </c>
      <c r="M51" s="26" t="s">
        <v>313</v>
      </c>
      <c r="N51" s="26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</row>
    <row r="52" ht="15.75" customHeight="1">
      <c r="A52" s="26">
        <v>51.0</v>
      </c>
      <c r="B52" s="17">
        <v>45812.0</v>
      </c>
      <c r="C52" s="26" t="s">
        <v>496</v>
      </c>
      <c r="D52" s="26"/>
      <c r="E52" s="26" t="s">
        <v>497</v>
      </c>
      <c r="F52" s="26" t="s">
        <v>39</v>
      </c>
      <c r="G52" s="27">
        <v>5100.0</v>
      </c>
      <c r="H52" s="26"/>
      <c r="I52" s="28">
        <v>45690.0</v>
      </c>
      <c r="J52" s="26"/>
      <c r="K52" s="26" t="s">
        <v>310</v>
      </c>
      <c r="L52" s="26" t="s">
        <v>47</v>
      </c>
      <c r="M52" s="26" t="s">
        <v>313</v>
      </c>
      <c r="N52" s="26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</row>
    <row r="53" ht="15.75" customHeight="1">
      <c r="A53" s="26">
        <v>52.0</v>
      </c>
      <c r="B53" s="17">
        <v>45812.0</v>
      </c>
      <c r="C53" s="26" t="s">
        <v>507</v>
      </c>
      <c r="D53" s="26"/>
      <c r="E53" s="26" t="s">
        <v>510</v>
      </c>
      <c r="F53" s="26" t="s">
        <v>39</v>
      </c>
      <c r="G53" s="27">
        <v>5100.0</v>
      </c>
      <c r="H53" s="26"/>
      <c r="I53" s="28">
        <v>45718.0</v>
      </c>
      <c r="J53" s="26"/>
      <c r="K53" s="26" t="s">
        <v>310</v>
      </c>
      <c r="L53" s="26" t="s">
        <v>47</v>
      </c>
      <c r="M53" s="26" t="s">
        <v>313</v>
      </c>
      <c r="N53" s="26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</row>
    <row r="54" ht="15.75" customHeight="1">
      <c r="A54" s="26">
        <v>53.0</v>
      </c>
      <c r="B54" s="17">
        <v>45812.0</v>
      </c>
      <c r="C54" s="26" t="s">
        <v>518</v>
      </c>
      <c r="D54" s="26"/>
      <c r="E54" s="26" t="s">
        <v>520</v>
      </c>
      <c r="F54" s="26" t="s">
        <v>39</v>
      </c>
      <c r="G54" s="27">
        <v>3100.0</v>
      </c>
      <c r="H54" s="26"/>
      <c r="I54" s="28">
        <v>45749.0</v>
      </c>
      <c r="J54" s="26"/>
      <c r="K54" s="26" t="s">
        <v>310</v>
      </c>
      <c r="L54" s="26" t="s">
        <v>47</v>
      </c>
      <c r="M54" s="26" t="s">
        <v>313</v>
      </c>
      <c r="N54" s="26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</row>
    <row r="55" ht="15.75" customHeight="1">
      <c r="A55" s="26">
        <v>54.0</v>
      </c>
      <c r="B55" s="17">
        <v>45812.0</v>
      </c>
      <c r="C55" s="26" t="s">
        <v>530</v>
      </c>
      <c r="D55" s="26"/>
      <c r="E55" s="26" t="s">
        <v>531</v>
      </c>
      <c r="F55" s="26" t="s">
        <v>39</v>
      </c>
      <c r="G55" s="27">
        <v>2100.0</v>
      </c>
      <c r="H55" s="26"/>
      <c r="I55" s="28">
        <v>45779.0</v>
      </c>
      <c r="J55" s="26"/>
      <c r="K55" s="26" t="s">
        <v>310</v>
      </c>
      <c r="L55" s="26" t="s">
        <v>47</v>
      </c>
      <c r="M55" s="26" t="s">
        <v>313</v>
      </c>
      <c r="N55" s="26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</row>
    <row r="56" ht="15.75" customHeight="1">
      <c r="A56" s="26">
        <v>55.0</v>
      </c>
      <c r="B56" s="17">
        <v>45812.0</v>
      </c>
      <c r="C56" s="26" t="s">
        <v>539</v>
      </c>
      <c r="D56" s="26"/>
      <c r="E56" s="26" t="s">
        <v>541</v>
      </c>
      <c r="F56" s="26" t="s">
        <v>39</v>
      </c>
      <c r="G56" s="27">
        <v>2100.0</v>
      </c>
      <c r="H56" s="26"/>
      <c r="I56" s="28">
        <v>45810.0</v>
      </c>
      <c r="J56" s="26"/>
      <c r="K56" s="26" t="s">
        <v>310</v>
      </c>
      <c r="L56" s="26" t="s">
        <v>47</v>
      </c>
      <c r="M56" s="26" t="s">
        <v>313</v>
      </c>
      <c r="N56" s="26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</row>
    <row r="57" ht="15.75" customHeight="1">
      <c r="A57" s="26">
        <v>56.0</v>
      </c>
      <c r="B57" s="17">
        <v>45812.0</v>
      </c>
      <c r="C57" s="26" t="s">
        <v>145</v>
      </c>
      <c r="D57" s="26"/>
      <c r="E57" s="26"/>
      <c r="F57" s="26" t="s">
        <v>39</v>
      </c>
      <c r="G57" s="27">
        <v>1100.0</v>
      </c>
      <c r="H57" s="26"/>
      <c r="I57" s="28">
        <v>45840.0</v>
      </c>
      <c r="J57" s="26"/>
      <c r="K57" s="26" t="s">
        <v>310</v>
      </c>
      <c r="L57" s="26" t="s">
        <v>47</v>
      </c>
      <c r="M57" s="26" t="s">
        <v>313</v>
      </c>
      <c r="N57" s="26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</row>
    <row r="58" ht="15.75" customHeight="1">
      <c r="A58" s="26">
        <v>57.0</v>
      </c>
      <c r="B58" s="17">
        <v>45812.0</v>
      </c>
      <c r="C58" s="26" t="s">
        <v>558</v>
      </c>
      <c r="D58" s="26"/>
      <c r="E58" s="26" t="s">
        <v>559</v>
      </c>
      <c r="F58" s="26" t="s">
        <v>39</v>
      </c>
      <c r="G58" s="27">
        <v>1100.0</v>
      </c>
      <c r="H58" s="26"/>
      <c r="I58" s="28">
        <v>45871.0</v>
      </c>
      <c r="J58" s="26"/>
      <c r="K58" s="26" t="s">
        <v>310</v>
      </c>
      <c r="L58" s="26" t="s">
        <v>47</v>
      </c>
      <c r="M58" s="26" t="s">
        <v>313</v>
      </c>
      <c r="N58" s="26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</row>
    <row r="59" ht="15.75" customHeight="1">
      <c r="A59" s="26">
        <v>58.0</v>
      </c>
      <c r="B59" s="17">
        <v>45812.0</v>
      </c>
      <c r="C59" s="26" t="s">
        <v>569</v>
      </c>
      <c r="D59" s="26"/>
      <c r="E59" s="26" t="s">
        <v>570</v>
      </c>
      <c r="F59" s="26" t="s">
        <v>39</v>
      </c>
      <c r="G59" s="27">
        <v>1100.0</v>
      </c>
      <c r="H59" s="26"/>
      <c r="I59" s="28">
        <v>45902.0</v>
      </c>
      <c r="J59" s="26"/>
      <c r="K59" s="26" t="s">
        <v>310</v>
      </c>
      <c r="L59" s="26" t="s">
        <v>47</v>
      </c>
      <c r="M59" s="26" t="s">
        <v>313</v>
      </c>
      <c r="N59" s="26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</row>
    <row r="60" ht="15.75" customHeight="1">
      <c r="A60" s="26">
        <v>59.0</v>
      </c>
      <c r="B60" s="17">
        <v>45812.0</v>
      </c>
      <c r="C60" s="26" t="s">
        <v>577</v>
      </c>
      <c r="D60" s="26"/>
      <c r="E60" s="26" t="s">
        <v>579</v>
      </c>
      <c r="F60" s="26" t="s">
        <v>39</v>
      </c>
      <c r="G60" s="27">
        <v>1100.0</v>
      </c>
      <c r="H60" s="26"/>
      <c r="I60" s="28">
        <v>45932.0</v>
      </c>
      <c r="J60" s="26"/>
      <c r="K60" s="26" t="s">
        <v>310</v>
      </c>
      <c r="L60" s="26" t="s">
        <v>47</v>
      </c>
      <c r="M60" s="26" t="s">
        <v>313</v>
      </c>
      <c r="N60" s="26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</row>
    <row r="61" ht="15.75" customHeight="1">
      <c r="A61" s="26">
        <v>60.0</v>
      </c>
      <c r="B61" s="17">
        <v>45812.0</v>
      </c>
      <c r="C61" s="26" t="s">
        <v>588</v>
      </c>
      <c r="D61" s="26"/>
      <c r="E61" s="26" t="s">
        <v>590</v>
      </c>
      <c r="F61" s="26" t="s">
        <v>39</v>
      </c>
      <c r="G61" s="27">
        <v>500.0</v>
      </c>
      <c r="H61" s="26"/>
      <c r="I61" s="28">
        <v>45963.0</v>
      </c>
      <c r="J61" s="26"/>
      <c r="K61" s="26" t="s">
        <v>310</v>
      </c>
      <c r="L61" s="26" t="s">
        <v>47</v>
      </c>
      <c r="M61" s="26" t="s">
        <v>313</v>
      </c>
      <c r="N61" s="26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</row>
    <row r="62" ht="15.75" customHeight="1">
      <c r="A62" s="26">
        <v>61.0</v>
      </c>
      <c r="B62" s="17">
        <v>45813.0</v>
      </c>
      <c r="C62" s="26" t="s">
        <v>598</v>
      </c>
      <c r="D62" s="26">
        <v>8.630502641E9</v>
      </c>
      <c r="E62" s="26" t="s">
        <v>600</v>
      </c>
      <c r="F62" s="26" t="s">
        <v>39</v>
      </c>
      <c r="G62" s="27">
        <v>11000.0</v>
      </c>
      <c r="H62" s="26"/>
      <c r="I62" s="28">
        <v>45993.0</v>
      </c>
      <c r="J62" s="26"/>
      <c r="K62" s="26" t="s">
        <v>603</v>
      </c>
      <c r="L62" s="26" t="s">
        <v>47</v>
      </c>
      <c r="M62" s="26" t="s">
        <v>158</v>
      </c>
      <c r="N62" s="26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</row>
    <row r="63" ht="15.75" customHeight="1">
      <c r="A63" s="26">
        <v>62.0</v>
      </c>
      <c r="B63" s="17">
        <v>45813.0</v>
      </c>
      <c r="C63" s="26" t="s">
        <v>609</v>
      </c>
      <c r="D63" s="26">
        <v>9.646886997E9</v>
      </c>
      <c r="E63" s="26" t="s">
        <v>611</v>
      </c>
      <c r="F63" s="26" t="s">
        <v>39</v>
      </c>
      <c r="G63" s="27">
        <v>11000.0</v>
      </c>
      <c r="H63" s="26"/>
      <c r="I63" s="26" t="s">
        <v>232</v>
      </c>
      <c r="J63" s="26"/>
      <c r="K63" s="26" t="s">
        <v>603</v>
      </c>
      <c r="L63" s="26" t="s">
        <v>47</v>
      </c>
      <c r="M63" s="26" t="s">
        <v>158</v>
      </c>
      <c r="N63" s="26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</row>
    <row r="64" ht="15.75" customHeight="1">
      <c r="A64" s="26">
        <v>63.0</v>
      </c>
      <c r="B64" s="17">
        <v>45813.0</v>
      </c>
      <c r="C64" s="26" t="s">
        <v>620</v>
      </c>
      <c r="D64" s="26">
        <v>9.646886997E9</v>
      </c>
      <c r="E64" s="26" t="s">
        <v>611</v>
      </c>
      <c r="F64" s="26" t="s">
        <v>39</v>
      </c>
      <c r="G64" s="27">
        <v>5100.0</v>
      </c>
      <c r="H64" s="26"/>
      <c r="I64" s="26" t="s">
        <v>234</v>
      </c>
      <c r="J64" s="26"/>
      <c r="K64" s="26" t="s">
        <v>603</v>
      </c>
      <c r="L64" s="26" t="s">
        <v>47</v>
      </c>
      <c r="M64" s="26" t="s">
        <v>158</v>
      </c>
      <c r="N64" s="26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</row>
    <row r="65" ht="15.75" customHeight="1">
      <c r="A65" s="26">
        <v>64.0</v>
      </c>
      <c r="B65" s="17">
        <v>45813.0</v>
      </c>
      <c r="C65" s="26" t="s">
        <v>626</v>
      </c>
      <c r="D65" s="26">
        <v>8.05433221E9</v>
      </c>
      <c r="E65" s="26" t="s">
        <v>369</v>
      </c>
      <c r="F65" s="26" t="s">
        <v>39</v>
      </c>
      <c r="G65" s="27">
        <v>31000.0</v>
      </c>
      <c r="H65" s="26"/>
      <c r="I65" s="26" t="s">
        <v>237</v>
      </c>
      <c r="J65" s="26"/>
      <c r="K65" s="26" t="s">
        <v>603</v>
      </c>
      <c r="L65" s="26" t="s">
        <v>47</v>
      </c>
      <c r="M65" s="26" t="s">
        <v>631</v>
      </c>
      <c r="N65" s="26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</row>
    <row r="66" ht="15.75" customHeight="1">
      <c r="A66" s="26">
        <v>65.0</v>
      </c>
      <c r="B66" s="17">
        <v>45813.0</v>
      </c>
      <c r="C66" s="26" t="s">
        <v>635</v>
      </c>
      <c r="D66" s="26">
        <v>9.992757755E9</v>
      </c>
      <c r="E66" s="26" t="s">
        <v>637</v>
      </c>
      <c r="F66" s="26" t="s">
        <v>39</v>
      </c>
      <c r="G66" s="27">
        <v>2100.0</v>
      </c>
      <c r="H66" s="26"/>
      <c r="I66" s="26" t="s">
        <v>242</v>
      </c>
      <c r="J66" s="26"/>
      <c r="K66" s="26" t="s">
        <v>603</v>
      </c>
      <c r="L66" s="26" t="s">
        <v>47</v>
      </c>
      <c r="M66" s="26" t="s">
        <v>54</v>
      </c>
      <c r="N66" s="26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</row>
    <row r="67" ht="15.75" customHeight="1">
      <c r="A67" s="26">
        <v>66.0</v>
      </c>
      <c r="B67" s="17">
        <v>45813.0</v>
      </c>
      <c r="C67" s="26" t="s">
        <v>642</v>
      </c>
      <c r="D67" s="26">
        <v>9.872812356E9</v>
      </c>
      <c r="E67" s="26" t="s">
        <v>644</v>
      </c>
      <c r="F67" s="26" t="s">
        <v>39</v>
      </c>
      <c r="G67" s="27">
        <v>2100.0</v>
      </c>
      <c r="H67" s="26"/>
      <c r="I67" s="26" t="s">
        <v>245</v>
      </c>
      <c r="J67" s="26"/>
      <c r="K67" s="26" t="s">
        <v>603</v>
      </c>
      <c r="L67" s="26" t="s">
        <v>47</v>
      </c>
      <c r="M67" s="26" t="s">
        <v>54</v>
      </c>
      <c r="N67" s="26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</row>
    <row r="68" ht="15.75" customHeight="1">
      <c r="A68" s="26">
        <v>67.0</v>
      </c>
      <c r="B68" s="17">
        <v>45813.0</v>
      </c>
      <c r="C68" s="26" t="s">
        <v>651</v>
      </c>
      <c r="D68" s="26">
        <v>9.888439606E9</v>
      </c>
      <c r="E68" s="26" t="s">
        <v>653</v>
      </c>
      <c r="F68" s="26" t="s">
        <v>39</v>
      </c>
      <c r="G68" s="27">
        <v>11000.0</v>
      </c>
      <c r="H68" s="26"/>
      <c r="I68" s="26" t="s">
        <v>247</v>
      </c>
      <c r="J68" s="26"/>
      <c r="K68" s="26" t="s">
        <v>603</v>
      </c>
      <c r="L68" s="26" t="s">
        <v>47</v>
      </c>
      <c r="M68" s="26" t="s">
        <v>54</v>
      </c>
      <c r="N68" s="26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</row>
    <row r="69" ht="15.75" customHeight="1">
      <c r="A69" s="26">
        <v>68.0</v>
      </c>
      <c r="B69" s="17">
        <v>45814.0</v>
      </c>
      <c r="C69" s="26" t="s">
        <v>523</v>
      </c>
      <c r="D69" s="26">
        <v>7.626891234E9</v>
      </c>
      <c r="E69" s="26" t="s">
        <v>525</v>
      </c>
      <c r="F69" s="26" t="s">
        <v>39</v>
      </c>
      <c r="G69" s="27">
        <v>5100.0</v>
      </c>
      <c r="H69" s="26"/>
      <c r="I69" s="26" t="s">
        <v>250</v>
      </c>
      <c r="J69" s="26"/>
      <c r="K69" s="26" t="s">
        <v>45</v>
      </c>
      <c r="L69" s="26" t="s">
        <v>47</v>
      </c>
      <c r="M69" s="26" t="s">
        <v>61</v>
      </c>
      <c r="N69" s="26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</row>
    <row r="70" ht="15.75" customHeight="1">
      <c r="A70" s="26">
        <v>69.0</v>
      </c>
      <c r="B70" s="17">
        <v>45814.0</v>
      </c>
      <c r="C70" s="26" t="s">
        <v>672</v>
      </c>
      <c r="D70" s="26">
        <v>9.872743875E9</v>
      </c>
      <c r="E70" s="26" t="s">
        <v>674</v>
      </c>
      <c r="F70" s="26" t="s">
        <v>39</v>
      </c>
      <c r="G70" s="27">
        <v>5100.0</v>
      </c>
      <c r="H70" s="26"/>
      <c r="I70" s="26" t="s">
        <v>256</v>
      </c>
      <c r="J70" s="26"/>
      <c r="K70" s="26" t="s">
        <v>174</v>
      </c>
      <c r="L70" s="26" t="s">
        <v>47</v>
      </c>
      <c r="M70" s="26" t="s">
        <v>106</v>
      </c>
      <c r="N70" s="26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</row>
    <row r="71" ht="15.75" customHeight="1">
      <c r="A71" s="26">
        <v>70.0</v>
      </c>
      <c r="B71" s="17">
        <v>45823.0</v>
      </c>
      <c r="C71" s="26" t="s">
        <v>679</v>
      </c>
      <c r="D71" s="26"/>
      <c r="E71" s="26" t="s">
        <v>680</v>
      </c>
      <c r="F71" s="26" t="s">
        <v>39</v>
      </c>
      <c r="G71" s="27">
        <v>11000.0</v>
      </c>
      <c r="H71" s="26"/>
      <c r="I71" s="26" t="s">
        <v>479</v>
      </c>
      <c r="J71" s="26"/>
      <c r="K71" s="26" t="s">
        <v>129</v>
      </c>
      <c r="L71" s="26" t="s">
        <v>47</v>
      </c>
      <c r="M71" s="26" t="s">
        <v>131</v>
      </c>
      <c r="N71" s="26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</row>
    <row r="72" ht="15.75" customHeight="1">
      <c r="A72" s="26">
        <v>71.0</v>
      </c>
      <c r="B72" s="17">
        <v>45814.0</v>
      </c>
      <c r="C72" s="26" t="s">
        <v>682</v>
      </c>
      <c r="D72" s="26"/>
      <c r="E72" s="26" t="s">
        <v>683</v>
      </c>
      <c r="F72" s="26" t="s">
        <v>39</v>
      </c>
      <c r="G72" s="27">
        <v>2100.0</v>
      </c>
      <c r="H72" s="26"/>
      <c r="I72" s="26" t="s">
        <v>259</v>
      </c>
      <c r="J72" s="26"/>
      <c r="K72" s="26" t="s">
        <v>310</v>
      </c>
      <c r="L72" s="26" t="s">
        <v>47</v>
      </c>
      <c r="M72" s="26" t="s">
        <v>313</v>
      </c>
      <c r="N72" s="26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</row>
    <row r="73" ht="15.75" customHeight="1">
      <c r="A73" s="26">
        <v>72.0</v>
      </c>
      <c r="B73" s="17">
        <v>45814.0</v>
      </c>
      <c r="C73" s="26" t="s">
        <v>686</v>
      </c>
      <c r="D73" s="26"/>
      <c r="E73" s="26" t="s">
        <v>688</v>
      </c>
      <c r="F73" s="26" t="s">
        <v>39</v>
      </c>
      <c r="G73" s="27">
        <v>5100.0</v>
      </c>
      <c r="H73" s="26"/>
      <c r="I73" s="26" t="s">
        <v>263</v>
      </c>
      <c r="J73" s="26"/>
      <c r="K73" s="26" t="s">
        <v>310</v>
      </c>
      <c r="L73" s="26" t="s">
        <v>47</v>
      </c>
      <c r="M73" s="26" t="s">
        <v>313</v>
      </c>
      <c r="N73" s="26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</row>
    <row r="74" ht="15.75" customHeight="1">
      <c r="A74" s="26">
        <v>73.0</v>
      </c>
      <c r="B74" s="17">
        <v>45814.0</v>
      </c>
      <c r="C74" s="26" t="s">
        <v>690</v>
      </c>
      <c r="D74" s="26"/>
      <c r="E74" s="26" t="s">
        <v>691</v>
      </c>
      <c r="F74" s="26" t="s">
        <v>39</v>
      </c>
      <c r="G74" s="27">
        <v>5100.0</v>
      </c>
      <c r="H74" s="26"/>
      <c r="I74" s="26" t="s">
        <v>268</v>
      </c>
      <c r="J74" s="26"/>
      <c r="K74" s="26" t="s">
        <v>310</v>
      </c>
      <c r="L74" s="26" t="s">
        <v>47</v>
      </c>
      <c r="M74" s="26" t="s">
        <v>313</v>
      </c>
      <c r="N74" s="26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</row>
    <row r="75" ht="15.75" customHeight="1">
      <c r="A75" s="26">
        <v>74.0</v>
      </c>
      <c r="B75" s="17">
        <v>45814.0</v>
      </c>
      <c r="C75" s="26" t="s">
        <v>145</v>
      </c>
      <c r="D75" s="26"/>
      <c r="E75" s="26"/>
      <c r="F75" s="26" t="s">
        <v>39</v>
      </c>
      <c r="G75" s="27">
        <v>500.0</v>
      </c>
      <c r="H75" s="26"/>
      <c r="I75" s="26" t="s">
        <v>271</v>
      </c>
      <c r="J75" s="26"/>
      <c r="K75" s="26" t="s">
        <v>310</v>
      </c>
      <c r="L75" s="26" t="s">
        <v>47</v>
      </c>
      <c r="M75" s="26" t="s">
        <v>313</v>
      </c>
      <c r="N75" s="26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</row>
    <row r="76" ht="15.75" customHeight="1">
      <c r="A76" s="26">
        <v>75.0</v>
      </c>
      <c r="B76" s="17">
        <v>45814.0</v>
      </c>
      <c r="C76" s="26" t="s">
        <v>695</v>
      </c>
      <c r="D76" s="26">
        <v>9.85502409E9</v>
      </c>
      <c r="E76" s="26" t="s">
        <v>696</v>
      </c>
      <c r="F76" s="26" t="s">
        <v>39</v>
      </c>
      <c r="G76" s="27">
        <v>5100.0</v>
      </c>
      <c r="H76" s="26"/>
      <c r="I76" s="26" t="s">
        <v>274</v>
      </c>
      <c r="J76" s="26"/>
      <c r="K76" s="26" t="s">
        <v>310</v>
      </c>
      <c r="L76" s="26" t="s">
        <v>47</v>
      </c>
      <c r="M76" s="26" t="s">
        <v>313</v>
      </c>
      <c r="N76" s="26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</row>
    <row r="77" ht="15.75" customHeight="1">
      <c r="A77" s="26">
        <v>76.0</v>
      </c>
      <c r="B77" s="17">
        <v>45814.0</v>
      </c>
      <c r="C77" s="26" t="s">
        <v>699</v>
      </c>
      <c r="D77" s="26">
        <v>9.872860937E9</v>
      </c>
      <c r="E77" s="26" t="s">
        <v>700</v>
      </c>
      <c r="F77" s="26" t="s">
        <v>39</v>
      </c>
      <c r="G77" s="27">
        <v>2100.0</v>
      </c>
      <c r="H77" s="26"/>
      <c r="I77" s="26" t="s">
        <v>276</v>
      </c>
      <c r="J77" s="26"/>
      <c r="K77" s="26" t="s">
        <v>310</v>
      </c>
      <c r="L77" s="26" t="s">
        <v>47</v>
      </c>
      <c r="M77" s="26" t="s">
        <v>313</v>
      </c>
      <c r="N77" s="26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</row>
    <row r="78" ht="15.75" customHeight="1">
      <c r="A78" s="26">
        <v>77.0</v>
      </c>
      <c r="B78" s="17">
        <v>45814.0</v>
      </c>
      <c r="C78" s="26" t="s">
        <v>701</v>
      </c>
      <c r="D78" s="26">
        <v>9.357775551E9</v>
      </c>
      <c r="E78" s="26" t="s">
        <v>702</v>
      </c>
      <c r="F78" s="26" t="s">
        <v>39</v>
      </c>
      <c r="G78" s="27">
        <v>2100.0</v>
      </c>
      <c r="H78" s="26"/>
      <c r="I78" s="26" t="s">
        <v>279</v>
      </c>
      <c r="J78" s="26"/>
      <c r="K78" s="26" t="s">
        <v>310</v>
      </c>
      <c r="L78" s="26" t="s">
        <v>47</v>
      </c>
      <c r="M78" s="26" t="s">
        <v>313</v>
      </c>
      <c r="N78" s="26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</row>
    <row r="79" ht="15.75" customHeight="1">
      <c r="A79" s="26">
        <v>78.0</v>
      </c>
      <c r="B79" s="17">
        <v>45814.0</v>
      </c>
      <c r="C79" s="26" t="s">
        <v>706</v>
      </c>
      <c r="D79" s="26">
        <v>8.146669337E9</v>
      </c>
      <c r="E79" s="26" t="s">
        <v>707</v>
      </c>
      <c r="F79" s="26" t="s">
        <v>39</v>
      </c>
      <c r="G79" s="27">
        <v>1500.0</v>
      </c>
      <c r="H79" s="26"/>
      <c r="I79" s="26" t="s">
        <v>283</v>
      </c>
      <c r="J79" s="26"/>
      <c r="K79" s="26" t="s">
        <v>310</v>
      </c>
      <c r="L79" s="26" t="s">
        <v>47</v>
      </c>
      <c r="M79" s="26" t="s">
        <v>313</v>
      </c>
      <c r="N79" s="26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</row>
    <row r="80" ht="15.75" customHeight="1">
      <c r="A80" s="26">
        <v>79.0</v>
      </c>
      <c r="B80" s="17">
        <v>45814.0</v>
      </c>
      <c r="C80" s="26" t="s">
        <v>712</v>
      </c>
      <c r="D80" s="26">
        <v>8.278861394E9</v>
      </c>
      <c r="E80" s="33" t="s">
        <v>713</v>
      </c>
      <c r="F80" s="26" t="s">
        <v>39</v>
      </c>
      <c r="G80" s="27">
        <v>1100.0</v>
      </c>
      <c r="H80" s="26"/>
      <c r="I80" s="26" t="s">
        <v>286</v>
      </c>
      <c r="J80" s="26"/>
      <c r="K80" s="26" t="s">
        <v>310</v>
      </c>
      <c r="L80" s="26" t="s">
        <v>47</v>
      </c>
      <c r="M80" s="26" t="s">
        <v>313</v>
      </c>
      <c r="N80" s="26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</row>
    <row r="81" ht="15.75" customHeight="1">
      <c r="A81" s="26">
        <v>80.0</v>
      </c>
      <c r="B81" s="17">
        <v>45814.0</v>
      </c>
      <c r="C81" s="26" t="s">
        <v>715</v>
      </c>
      <c r="D81" s="26">
        <v>9.888521638E9</v>
      </c>
      <c r="E81" s="26" t="s">
        <v>716</v>
      </c>
      <c r="F81" s="26" t="s">
        <v>39</v>
      </c>
      <c r="G81" s="27">
        <v>1100.0</v>
      </c>
      <c r="H81" s="26"/>
      <c r="I81" s="26" t="s">
        <v>290</v>
      </c>
      <c r="J81" s="26"/>
      <c r="K81" s="26" t="s">
        <v>310</v>
      </c>
      <c r="L81" s="26" t="s">
        <v>47</v>
      </c>
      <c r="M81" s="26" t="s">
        <v>313</v>
      </c>
      <c r="N81" s="26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</row>
    <row r="82" ht="15.75" customHeight="1">
      <c r="A82" s="26">
        <v>81.0</v>
      </c>
      <c r="B82" s="17">
        <v>45814.0</v>
      </c>
      <c r="C82" s="26" t="s">
        <v>718</v>
      </c>
      <c r="D82" s="26">
        <v>9.872585231E9</v>
      </c>
      <c r="E82" s="26" t="s">
        <v>719</v>
      </c>
      <c r="F82" s="26" t="s">
        <v>39</v>
      </c>
      <c r="G82" s="27">
        <v>500.0</v>
      </c>
      <c r="H82" s="26"/>
      <c r="I82" s="26" t="s">
        <v>293</v>
      </c>
      <c r="J82" s="26"/>
      <c r="K82" s="26" t="s">
        <v>310</v>
      </c>
      <c r="L82" s="26" t="s">
        <v>47</v>
      </c>
      <c r="M82" s="26" t="s">
        <v>313</v>
      </c>
      <c r="N82" s="26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</row>
    <row r="83" ht="15.75" customHeight="1">
      <c r="A83" s="26">
        <v>82.0</v>
      </c>
      <c r="B83" s="17">
        <v>45814.0</v>
      </c>
      <c r="C83" s="26" t="s">
        <v>145</v>
      </c>
      <c r="D83" s="26"/>
      <c r="E83" s="26"/>
      <c r="F83" s="26" t="s">
        <v>39</v>
      </c>
      <c r="G83" s="27">
        <v>500.0</v>
      </c>
      <c r="H83" s="26"/>
      <c r="I83" s="26" t="s">
        <v>296</v>
      </c>
      <c r="J83" s="26"/>
      <c r="K83" s="26" t="s">
        <v>310</v>
      </c>
      <c r="L83" s="26" t="s">
        <v>47</v>
      </c>
      <c r="M83" s="26" t="s">
        <v>313</v>
      </c>
      <c r="N83" s="26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</row>
    <row r="84" ht="15.75" customHeight="1">
      <c r="A84" s="26">
        <v>83.0</v>
      </c>
      <c r="B84" s="17">
        <v>45814.0</v>
      </c>
      <c r="C84" s="26" t="s">
        <v>724</v>
      </c>
      <c r="D84" s="26"/>
      <c r="E84" s="26"/>
      <c r="F84" s="26" t="s">
        <v>39</v>
      </c>
      <c r="G84" s="27">
        <v>500.0</v>
      </c>
      <c r="H84" s="26"/>
      <c r="I84" s="26" t="s">
        <v>299</v>
      </c>
      <c r="J84" s="26"/>
      <c r="K84" s="26" t="s">
        <v>310</v>
      </c>
      <c r="L84" s="26" t="s">
        <v>47</v>
      </c>
      <c r="M84" s="26" t="s">
        <v>313</v>
      </c>
      <c r="N84" s="26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</row>
    <row r="85" ht="15.75" customHeight="1">
      <c r="A85" s="26">
        <v>84.0</v>
      </c>
      <c r="B85" s="17">
        <v>45814.0</v>
      </c>
      <c r="C85" s="26" t="s">
        <v>726</v>
      </c>
      <c r="D85" s="26">
        <v>9.316030909E9</v>
      </c>
      <c r="E85" s="26" t="s">
        <v>728</v>
      </c>
      <c r="F85" s="26" t="s">
        <v>117</v>
      </c>
      <c r="G85" s="27">
        <v>11000.0</v>
      </c>
      <c r="H85" s="26"/>
      <c r="I85" s="26" t="s">
        <v>321</v>
      </c>
      <c r="J85" s="26"/>
      <c r="K85" s="26" t="s">
        <v>603</v>
      </c>
      <c r="L85" s="26" t="s">
        <v>47</v>
      </c>
      <c r="M85" s="26" t="s">
        <v>54</v>
      </c>
      <c r="N85" s="26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</row>
    <row r="86" ht="15.75" customHeight="1">
      <c r="A86" s="26">
        <v>85.0</v>
      </c>
      <c r="B86" s="17">
        <v>45814.0</v>
      </c>
      <c r="C86" s="26" t="s">
        <v>731</v>
      </c>
      <c r="D86" s="26">
        <v>7.973027875E9</v>
      </c>
      <c r="E86" s="26" t="s">
        <v>732</v>
      </c>
      <c r="F86" s="26" t="s">
        <v>117</v>
      </c>
      <c r="G86" s="27">
        <v>5100.0</v>
      </c>
      <c r="H86" s="26"/>
      <c r="I86" s="26" t="s">
        <v>323</v>
      </c>
      <c r="J86" s="26"/>
      <c r="K86" s="26" t="s">
        <v>603</v>
      </c>
      <c r="L86" s="26" t="s">
        <v>47</v>
      </c>
      <c r="M86" s="26" t="s">
        <v>54</v>
      </c>
      <c r="N86" s="26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</row>
    <row r="87" ht="15.75" customHeight="1">
      <c r="A87" s="26">
        <v>86.0</v>
      </c>
      <c r="B87" s="17">
        <v>45814.0</v>
      </c>
      <c r="C87" s="26" t="s">
        <v>735</v>
      </c>
      <c r="D87" s="26">
        <v>8.586917272E9</v>
      </c>
      <c r="E87" s="26" t="s">
        <v>736</v>
      </c>
      <c r="F87" s="26" t="s">
        <v>39</v>
      </c>
      <c r="G87" s="27">
        <v>11000.0</v>
      </c>
      <c r="H87" s="26"/>
      <c r="I87" s="26" t="s">
        <v>302</v>
      </c>
      <c r="J87" s="26"/>
      <c r="K87" s="26" t="s">
        <v>603</v>
      </c>
      <c r="L87" s="26" t="s">
        <v>47</v>
      </c>
      <c r="M87" s="26" t="s">
        <v>54</v>
      </c>
      <c r="N87" s="26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</row>
    <row r="88" ht="15.75" customHeight="1">
      <c r="A88" s="26">
        <v>87.0</v>
      </c>
      <c r="B88" s="17">
        <v>45814.0</v>
      </c>
      <c r="C88" s="26" t="s">
        <v>740</v>
      </c>
      <c r="D88" s="26">
        <v>9.815118096E9</v>
      </c>
      <c r="E88" s="26" t="s">
        <v>741</v>
      </c>
      <c r="F88" s="26" t="s">
        <v>39</v>
      </c>
      <c r="G88" s="27">
        <v>1000.0</v>
      </c>
      <c r="H88" s="26"/>
      <c r="I88" s="26" t="s">
        <v>307</v>
      </c>
      <c r="J88" s="26"/>
      <c r="K88" s="26" t="s">
        <v>603</v>
      </c>
      <c r="L88" s="26" t="s">
        <v>47</v>
      </c>
      <c r="M88" s="26" t="s">
        <v>158</v>
      </c>
      <c r="N88" s="26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</row>
    <row r="89" ht="15.75" customHeight="1">
      <c r="A89" s="26">
        <v>88.0</v>
      </c>
      <c r="B89" s="17">
        <v>45814.0</v>
      </c>
      <c r="C89" s="26" t="s">
        <v>656</v>
      </c>
      <c r="D89" s="26" t="s">
        <v>743</v>
      </c>
      <c r="E89" s="26" t="s">
        <v>657</v>
      </c>
      <c r="F89" s="26" t="s">
        <v>39</v>
      </c>
      <c r="G89" s="27">
        <v>31000.0</v>
      </c>
      <c r="H89" s="26"/>
      <c r="I89" s="26" t="s">
        <v>254</v>
      </c>
      <c r="J89" s="26"/>
      <c r="K89" s="26" t="s">
        <v>603</v>
      </c>
      <c r="L89" s="26" t="s">
        <v>47</v>
      </c>
      <c r="M89" s="26" t="s">
        <v>54</v>
      </c>
      <c r="N89" s="26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</row>
    <row r="90" ht="15.75" customHeight="1">
      <c r="A90" s="26">
        <v>89.0</v>
      </c>
      <c r="B90" s="17">
        <v>45814.0</v>
      </c>
      <c r="C90" s="26" t="s">
        <v>745</v>
      </c>
      <c r="D90" s="26">
        <v>9.876644158E9</v>
      </c>
      <c r="E90" s="26" t="s">
        <v>746</v>
      </c>
      <c r="F90" s="26" t="s">
        <v>39</v>
      </c>
      <c r="G90" s="27">
        <v>5100.0</v>
      </c>
      <c r="H90" s="26"/>
      <c r="I90" s="26" t="s">
        <v>311</v>
      </c>
      <c r="J90" s="26"/>
      <c r="K90" s="26" t="s">
        <v>310</v>
      </c>
      <c r="L90" s="26" t="s">
        <v>47</v>
      </c>
      <c r="M90" s="26" t="s">
        <v>313</v>
      </c>
      <c r="N90" s="26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</row>
    <row r="91" ht="15.75" customHeight="1">
      <c r="A91" s="26">
        <v>90.0</v>
      </c>
      <c r="B91" s="17">
        <v>45814.0</v>
      </c>
      <c r="C91" s="26" t="s">
        <v>748</v>
      </c>
      <c r="D91" s="26">
        <v>9.872807459E9</v>
      </c>
      <c r="E91" s="26" t="s">
        <v>749</v>
      </c>
      <c r="F91" s="26" t="s">
        <v>117</v>
      </c>
      <c r="G91" s="27">
        <v>3850.0</v>
      </c>
      <c r="H91" s="26"/>
      <c r="I91" s="26" t="s">
        <v>314</v>
      </c>
      <c r="J91" s="26"/>
      <c r="K91" s="26" t="s">
        <v>603</v>
      </c>
      <c r="L91" s="26" t="s">
        <v>47</v>
      </c>
      <c r="M91" s="26" t="s">
        <v>121</v>
      </c>
      <c r="N91" s="26" t="s">
        <v>750</v>
      </c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</row>
    <row r="92" ht="15.75" customHeight="1">
      <c r="A92" s="26">
        <v>91.0</v>
      </c>
      <c r="B92" s="17">
        <v>45816.0</v>
      </c>
      <c r="C92" s="26" t="s">
        <v>751</v>
      </c>
      <c r="D92" s="26">
        <v>9.876590922E9</v>
      </c>
      <c r="E92" s="26" t="s">
        <v>752</v>
      </c>
      <c r="F92" s="26" t="s">
        <v>39</v>
      </c>
      <c r="G92" s="27">
        <v>1100.0</v>
      </c>
      <c r="H92" s="26"/>
      <c r="I92" s="26" t="s">
        <v>317</v>
      </c>
      <c r="J92" s="26"/>
      <c r="K92" s="26" t="s">
        <v>603</v>
      </c>
      <c r="L92" s="26" t="s">
        <v>47</v>
      </c>
      <c r="M92" s="26" t="s">
        <v>158</v>
      </c>
      <c r="N92" s="26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</row>
    <row r="93" ht="15.75" customHeight="1">
      <c r="A93" s="26">
        <v>92.0</v>
      </c>
      <c r="B93" s="17">
        <v>45816.0</v>
      </c>
      <c r="C93" s="26" t="s">
        <v>753</v>
      </c>
      <c r="D93" s="26">
        <v>9.463046787E9</v>
      </c>
      <c r="E93" s="26" t="s">
        <v>693</v>
      </c>
      <c r="F93" s="26" t="s">
        <v>39</v>
      </c>
      <c r="G93" s="27">
        <v>3100.0</v>
      </c>
      <c r="H93" s="26"/>
      <c r="I93" s="26" t="s">
        <v>326</v>
      </c>
      <c r="J93" s="26"/>
      <c r="K93" s="26" t="s">
        <v>174</v>
      </c>
      <c r="L93" s="26" t="s">
        <v>47</v>
      </c>
      <c r="M93" s="26" t="s">
        <v>106</v>
      </c>
      <c r="N93" s="26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</row>
    <row r="94" ht="15.75" customHeight="1">
      <c r="A94" s="26">
        <v>93.0</v>
      </c>
      <c r="B94" s="17">
        <v>45816.0</v>
      </c>
      <c r="C94" s="26" t="s">
        <v>754</v>
      </c>
      <c r="D94" s="26">
        <v>8.699010712E9</v>
      </c>
      <c r="E94" s="26" t="s">
        <v>755</v>
      </c>
      <c r="F94" s="26" t="s">
        <v>39</v>
      </c>
      <c r="G94" s="27">
        <v>5100.0</v>
      </c>
      <c r="H94" s="26"/>
      <c r="I94" s="26" t="s">
        <v>330</v>
      </c>
      <c r="J94" s="26"/>
      <c r="K94" s="26" t="s">
        <v>310</v>
      </c>
      <c r="L94" s="26" t="s">
        <v>47</v>
      </c>
      <c r="M94" s="26" t="s">
        <v>313</v>
      </c>
      <c r="N94" s="26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</row>
    <row r="95" ht="15.75" customHeight="1">
      <c r="A95" s="26">
        <v>94.0</v>
      </c>
      <c r="B95" s="17">
        <v>45816.0</v>
      </c>
      <c r="C95" s="26" t="s">
        <v>756</v>
      </c>
      <c r="D95" s="26">
        <v>8.872324314E9</v>
      </c>
      <c r="E95" s="26" t="s">
        <v>757</v>
      </c>
      <c r="F95" s="26" t="s">
        <v>39</v>
      </c>
      <c r="G95" s="27">
        <v>2100.0</v>
      </c>
      <c r="H95" s="26"/>
      <c r="I95" s="26" t="s">
        <v>333</v>
      </c>
      <c r="J95" s="26"/>
      <c r="K95" s="26" t="s">
        <v>310</v>
      </c>
      <c r="L95" s="26" t="s">
        <v>47</v>
      </c>
      <c r="M95" s="26" t="s">
        <v>313</v>
      </c>
      <c r="N95" s="26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</row>
    <row r="96" ht="15.75" customHeight="1">
      <c r="A96" s="26">
        <v>95.0</v>
      </c>
      <c r="B96" s="17">
        <v>45816.0</v>
      </c>
      <c r="C96" s="26" t="s">
        <v>758</v>
      </c>
      <c r="D96" s="26"/>
      <c r="E96" s="26"/>
      <c r="F96" s="26" t="s">
        <v>39</v>
      </c>
      <c r="G96" s="27">
        <v>500.0</v>
      </c>
      <c r="H96" s="26"/>
      <c r="I96" s="26" t="s">
        <v>336</v>
      </c>
      <c r="J96" s="26"/>
      <c r="K96" s="26" t="s">
        <v>310</v>
      </c>
      <c r="L96" s="26" t="s">
        <v>47</v>
      </c>
      <c r="M96" s="26" t="s">
        <v>313</v>
      </c>
      <c r="N96" s="26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</row>
    <row r="97" ht="15.75" customHeight="1">
      <c r="A97" s="26">
        <v>96.0</v>
      </c>
      <c r="B97" s="17">
        <v>45816.0</v>
      </c>
      <c r="C97" s="26" t="s">
        <v>759</v>
      </c>
      <c r="D97" s="26"/>
      <c r="E97" s="26"/>
      <c r="F97" s="26" t="s">
        <v>39</v>
      </c>
      <c r="G97" s="27">
        <v>500.0</v>
      </c>
      <c r="H97" s="26"/>
      <c r="I97" s="26" t="s">
        <v>340</v>
      </c>
      <c r="J97" s="26"/>
      <c r="K97" s="26" t="s">
        <v>310</v>
      </c>
      <c r="L97" s="26" t="s">
        <v>47</v>
      </c>
      <c r="M97" s="26" t="s">
        <v>313</v>
      </c>
      <c r="N97" s="26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</row>
    <row r="98" ht="15.75" customHeight="1">
      <c r="A98" s="26">
        <v>97.0</v>
      </c>
      <c r="B98" s="17">
        <v>45816.0</v>
      </c>
      <c r="C98" s="26" t="s">
        <v>760</v>
      </c>
      <c r="D98" s="26"/>
      <c r="E98" s="26" t="s">
        <v>761</v>
      </c>
      <c r="F98" s="26" t="s">
        <v>39</v>
      </c>
      <c r="G98" s="27">
        <v>11000.0</v>
      </c>
      <c r="H98" s="26"/>
      <c r="I98" s="26" t="s">
        <v>343</v>
      </c>
      <c r="J98" s="26"/>
      <c r="K98" s="26" t="s">
        <v>174</v>
      </c>
      <c r="L98" s="26" t="s">
        <v>47</v>
      </c>
      <c r="M98" s="26" t="s">
        <v>106</v>
      </c>
      <c r="N98" s="26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</row>
    <row r="99" ht="15.75" customHeight="1">
      <c r="A99" s="26">
        <v>98.0</v>
      </c>
      <c r="B99" s="17">
        <v>45817.0</v>
      </c>
      <c r="C99" s="26" t="s">
        <v>762</v>
      </c>
      <c r="D99" s="26"/>
      <c r="E99" s="26" t="s">
        <v>763</v>
      </c>
      <c r="F99" s="26" t="s">
        <v>39</v>
      </c>
      <c r="G99" s="27">
        <v>2100.0</v>
      </c>
      <c r="H99" s="26"/>
      <c r="I99" s="26" t="s">
        <v>673</v>
      </c>
      <c r="J99" s="26"/>
      <c r="K99" s="26" t="s">
        <v>764</v>
      </c>
      <c r="L99" s="26" t="s">
        <v>47</v>
      </c>
      <c r="M99" s="26" t="s">
        <v>171</v>
      </c>
      <c r="N99" s="26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</row>
    <row r="100" ht="15.75" customHeight="1">
      <c r="A100" s="26">
        <v>99.0</v>
      </c>
      <c r="B100" s="17">
        <v>45817.0</v>
      </c>
      <c r="C100" s="26" t="s">
        <v>765</v>
      </c>
      <c r="D100" s="26"/>
      <c r="E100" s="26" t="s">
        <v>503</v>
      </c>
      <c r="F100" s="26" t="s">
        <v>39</v>
      </c>
      <c r="G100" s="27">
        <v>1100.0</v>
      </c>
      <c r="H100" s="26"/>
      <c r="I100" s="26" t="s">
        <v>766</v>
      </c>
      <c r="J100" s="26"/>
      <c r="K100" s="26" t="s">
        <v>764</v>
      </c>
      <c r="L100" s="26" t="s">
        <v>47</v>
      </c>
      <c r="M100" s="26" t="s">
        <v>171</v>
      </c>
      <c r="N100" s="26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</row>
    <row r="101" ht="15.75" customHeight="1">
      <c r="A101" s="26">
        <v>100.0</v>
      </c>
      <c r="B101" s="17">
        <v>45817.0</v>
      </c>
      <c r="C101" s="26" t="s">
        <v>767</v>
      </c>
      <c r="D101" s="26"/>
      <c r="E101" s="26" t="s">
        <v>768</v>
      </c>
      <c r="F101" s="26" t="s">
        <v>39</v>
      </c>
      <c r="G101" s="27">
        <v>1600.0</v>
      </c>
      <c r="H101" s="26"/>
      <c r="I101" s="26" t="s">
        <v>769</v>
      </c>
      <c r="J101" s="26"/>
      <c r="K101" s="26" t="s">
        <v>764</v>
      </c>
      <c r="L101" s="26" t="s">
        <v>47</v>
      </c>
      <c r="M101" s="26" t="s">
        <v>171</v>
      </c>
      <c r="N101" s="26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</row>
    <row r="102" ht="15.75" customHeight="1">
      <c r="A102" s="26">
        <v>101.0</v>
      </c>
      <c r="B102" s="17">
        <v>45817.0</v>
      </c>
      <c r="C102" s="26" t="s">
        <v>217</v>
      </c>
      <c r="D102" s="26"/>
      <c r="E102" s="26" t="s">
        <v>219</v>
      </c>
      <c r="F102" s="26" t="s">
        <v>39</v>
      </c>
      <c r="G102" s="27">
        <v>3100.0</v>
      </c>
      <c r="H102" s="26"/>
      <c r="I102" s="26" t="s">
        <v>770</v>
      </c>
      <c r="J102" s="26"/>
      <c r="K102" s="26" t="s">
        <v>764</v>
      </c>
      <c r="L102" s="26" t="s">
        <v>47</v>
      </c>
      <c r="M102" s="26" t="s">
        <v>171</v>
      </c>
      <c r="N102" s="26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</row>
    <row r="103" ht="15.75" customHeight="1">
      <c r="A103" s="26">
        <v>102.0</v>
      </c>
      <c r="B103" s="17">
        <v>45817.0</v>
      </c>
      <c r="C103" s="26" t="s">
        <v>771</v>
      </c>
      <c r="D103" s="26"/>
      <c r="E103" s="26" t="s">
        <v>772</v>
      </c>
      <c r="F103" s="26" t="s">
        <v>39</v>
      </c>
      <c r="G103" s="27">
        <v>2100.0</v>
      </c>
      <c r="H103" s="26"/>
      <c r="I103" s="26" t="s">
        <v>773</v>
      </c>
      <c r="J103" s="26"/>
      <c r="K103" s="26" t="s">
        <v>764</v>
      </c>
      <c r="L103" s="26" t="s">
        <v>47</v>
      </c>
      <c r="M103" s="26" t="s">
        <v>171</v>
      </c>
      <c r="N103" s="26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</row>
    <row r="104" ht="15.75" customHeight="1">
      <c r="A104" s="26">
        <v>103.0</v>
      </c>
      <c r="B104" s="17">
        <v>45817.0</v>
      </c>
      <c r="C104" s="26" t="s">
        <v>774</v>
      </c>
      <c r="D104" s="26"/>
      <c r="E104" s="26" t="s">
        <v>775</v>
      </c>
      <c r="F104" s="26" t="s">
        <v>39</v>
      </c>
      <c r="G104" s="27">
        <v>5100.0</v>
      </c>
      <c r="H104" s="26"/>
      <c r="I104" s="26" t="s">
        <v>776</v>
      </c>
      <c r="J104" s="26"/>
      <c r="K104" s="26" t="s">
        <v>764</v>
      </c>
      <c r="L104" s="26" t="s">
        <v>47</v>
      </c>
      <c r="M104" s="26" t="s">
        <v>171</v>
      </c>
      <c r="N104" s="26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</row>
    <row r="105" ht="15.75" customHeight="1">
      <c r="A105" s="26">
        <v>104.0</v>
      </c>
      <c r="B105" s="17">
        <v>45817.0</v>
      </c>
      <c r="C105" s="26" t="s">
        <v>145</v>
      </c>
      <c r="D105" s="26"/>
      <c r="E105" s="26" t="s">
        <v>777</v>
      </c>
      <c r="F105" s="26" t="s">
        <v>39</v>
      </c>
      <c r="G105" s="27">
        <v>2100.0</v>
      </c>
      <c r="H105" s="26"/>
      <c r="I105" s="26" t="s">
        <v>778</v>
      </c>
      <c r="J105" s="26"/>
      <c r="K105" s="26" t="s">
        <v>764</v>
      </c>
      <c r="L105" s="26" t="s">
        <v>47</v>
      </c>
      <c r="M105" s="26" t="s">
        <v>171</v>
      </c>
      <c r="N105" s="26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</row>
    <row r="106" ht="15.75" customHeight="1">
      <c r="A106" s="26">
        <v>105.0</v>
      </c>
      <c r="B106" s="17">
        <v>45817.0</v>
      </c>
      <c r="C106" s="26" t="s">
        <v>779</v>
      </c>
      <c r="D106" s="26"/>
      <c r="E106" s="26" t="s">
        <v>780</v>
      </c>
      <c r="F106" s="26" t="s">
        <v>39</v>
      </c>
      <c r="G106" s="27">
        <v>21000.0</v>
      </c>
      <c r="H106" s="26"/>
      <c r="I106" s="26" t="s">
        <v>781</v>
      </c>
      <c r="J106" s="26"/>
      <c r="K106" s="26" t="s">
        <v>764</v>
      </c>
      <c r="L106" s="26" t="s">
        <v>47</v>
      </c>
      <c r="M106" s="26" t="s">
        <v>171</v>
      </c>
      <c r="N106" s="26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</row>
    <row r="107" ht="15.75" customHeight="1">
      <c r="A107" s="26">
        <v>106.0</v>
      </c>
      <c r="B107" s="17">
        <v>45817.0</v>
      </c>
      <c r="C107" s="26" t="s">
        <v>145</v>
      </c>
      <c r="D107" s="26"/>
      <c r="E107" s="26" t="s">
        <v>782</v>
      </c>
      <c r="F107" s="26" t="s">
        <v>39</v>
      </c>
      <c r="G107" s="27">
        <v>500.0</v>
      </c>
      <c r="H107" s="26"/>
      <c r="I107" s="26" t="s">
        <v>783</v>
      </c>
      <c r="J107" s="26"/>
      <c r="K107" s="26" t="s">
        <v>764</v>
      </c>
      <c r="L107" s="26" t="s">
        <v>47</v>
      </c>
      <c r="M107" s="26" t="s">
        <v>171</v>
      </c>
      <c r="N107" s="26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</row>
    <row r="108" ht="15.75" customHeight="1">
      <c r="A108" s="26">
        <v>107.0</v>
      </c>
      <c r="B108" s="17">
        <v>45817.0</v>
      </c>
      <c r="C108" s="26" t="s">
        <v>145</v>
      </c>
      <c r="D108" s="26"/>
      <c r="E108" s="26" t="s">
        <v>784</v>
      </c>
      <c r="F108" s="26" t="s">
        <v>39</v>
      </c>
      <c r="G108" s="27">
        <v>500.0</v>
      </c>
      <c r="H108" s="26"/>
      <c r="I108" s="26" t="s">
        <v>785</v>
      </c>
      <c r="J108" s="26"/>
      <c r="K108" s="26" t="s">
        <v>764</v>
      </c>
      <c r="L108" s="26" t="s">
        <v>47</v>
      </c>
      <c r="M108" s="26" t="s">
        <v>171</v>
      </c>
      <c r="N108" s="26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</row>
    <row r="109" ht="15.75" customHeight="1">
      <c r="A109" s="26">
        <v>108.0</v>
      </c>
      <c r="B109" s="17">
        <v>45817.0</v>
      </c>
      <c r="C109" s="26" t="s">
        <v>145</v>
      </c>
      <c r="D109" s="26"/>
      <c r="E109" s="26" t="s">
        <v>786</v>
      </c>
      <c r="F109" s="26" t="s">
        <v>39</v>
      </c>
      <c r="G109" s="27">
        <v>500.0</v>
      </c>
      <c r="H109" s="26"/>
      <c r="I109" s="26" t="s">
        <v>787</v>
      </c>
      <c r="J109" s="26"/>
      <c r="K109" s="26" t="s">
        <v>764</v>
      </c>
      <c r="L109" s="26" t="s">
        <v>47</v>
      </c>
      <c r="M109" s="26" t="s">
        <v>171</v>
      </c>
      <c r="N109" s="26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</row>
    <row r="110" ht="15.75" customHeight="1">
      <c r="A110" s="26">
        <v>109.0</v>
      </c>
      <c r="B110" s="17">
        <v>45817.0</v>
      </c>
      <c r="C110" s="26" t="s">
        <v>788</v>
      </c>
      <c r="D110" s="26"/>
      <c r="E110" s="26" t="s">
        <v>789</v>
      </c>
      <c r="F110" s="26" t="s">
        <v>39</v>
      </c>
      <c r="G110" s="27">
        <v>5100.0</v>
      </c>
      <c r="H110" s="26"/>
      <c r="I110" s="26" t="s">
        <v>790</v>
      </c>
      <c r="J110" s="26"/>
      <c r="K110" s="26" t="s">
        <v>764</v>
      </c>
      <c r="L110" s="26" t="s">
        <v>47</v>
      </c>
      <c r="M110" s="26" t="s">
        <v>171</v>
      </c>
      <c r="N110" s="26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</row>
    <row r="111" ht="15.75" customHeight="1">
      <c r="A111" s="26">
        <v>110.0</v>
      </c>
      <c r="B111" s="17">
        <v>45817.0</v>
      </c>
      <c r="C111" s="26" t="s">
        <v>791</v>
      </c>
      <c r="D111" s="26"/>
      <c r="E111" s="26" t="s">
        <v>792</v>
      </c>
      <c r="F111" s="26" t="s">
        <v>39</v>
      </c>
      <c r="G111" s="27">
        <v>5100.0</v>
      </c>
      <c r="H111" s="26"/>
      <c r="I111" s="26" t="s">
        <v>793</v>
      </c>
      <c r="J111" s="26"/>
      <c r="K111" s="26" t="s">
        <v>764</v>
      </c>
      <c r="L111" s="26" t="s">
        <v>47</v>
      </c>
      <c r="M111" s="26" t="s">
        <v>171</v>
      </c>
      <c r="N111" s="26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</row>
    <row r="112" ht="15.75" customHeight="1">
      <c r="A112" s="26">
        <v>111.0</v>
      </c>
      <c r="B112" s="17">
        <v>45817.0</v>
      </c>
      <c r="C112" s="26" t="s">
        <v>794</v>
      </c>
      <c r="D112" s="26"/>
      <c r="E112" s="26" t="s">
        <v>795</v>
      </c>
      <c r="F112" s="26" t="s">
        <v>39</v>
      </c>
      <c r="G112" s="27">
        <v>500.0</v>
      </c>
      <c r="H112" s="26"/>
      <c r="I112" s="26" t="s">
        <v>796</v>
      </c>
      <c r="J112" s="26"/>
      <c r="K112" s="26" t="s">
        <v>764</v>
      </c>
      <c r="L112" s="26" t="s">
        <v>47</v>
      </c>
      <c r="M112" s="26" t="s">
        <v>171</v>
      </c>
      <c r="N112" s="26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</row>
    <row r="113" ht="15.75" customHeight="1">
      <c r="A113" s="26">
        <v>112.0</v>
      </c>
      <c r="B113" s="17">
        <v>45817.0</v>
      </c>
      <c r="C113" s="26" t="s">
        <v>684</v>
      </c>
      <c r="D113" s="26"/>
      <c r="E113" s="26" t="s">
        <v>797</v>
      </c>
      <c r="F113" s="26" t="s">
        <v>39</v>
      </c>
      <c r="G113" s="27">
        <v>5100.0</v>
      </c>
      <c r="H113" s="26"/>
      <c r="I113" s="26" t="s">
        <v>798</v>
      </c>
      <c r="J113" s="26"/>
      <c r="K113" s="26" t="s">
        <v>764</v>
      </c>
      <c r="L113" s="26" t="s">
        <v>47</v>
      </c>
      <c r="M113" s="26" t="s">
        <v>171</v>
      </c>
      <c r="N113" s="26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</row>
    <row r="114" ht="15.75" customHeight="1">
      <c r="A114" s="26">
        <v>113.0</v>
      </c>
      <c r="B114" s="17">
        <v>45816.0</v>
      </c>
      <c r="C114" s="26" t="s">
        <v>145</v>
      </c>
      <c r="D114" s="26"/>
      <c r="E114" s="26" t="s">
        <v>799</v>
      </c>
      <c r="F114" s="26" t="s">
        <v>39</v>
      </c>
      <c r="G114" s="27">
        <v>500.0</v>
      </c>
      <c r="H114" s="26"/>
      <c r="I114" s="26" t="s">
        <v>347</v>
      </c>
      <c r="J114" s="26"/>
      <c r="K114" s="26" t="s">
        <v>603</v>
      </c>
      <c r="L114" s="26" t="s">
        <v>47</v>
      </c>
      <c r="M114" s="26" t="s">
        <v>121</v>
      </c>
      <c r="N114" s="26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</row>
    <row r="115" ht="15.75" customHeight="1">
      <c r="A115" s="26">
        <v>114.0</v>
      </c>
      <c r="B115" s="17">
        <v>45816.0</v>
      </c>
      <c r="C115" s="26" t="s">
        <v>800</v>
      </c>
      <c r="D115" s="26"/>
      <c r="E115" s="26" t="s">
        <v>801</v>
      </c>
      <c r="F115" s="26" t="s">
        <v>39</v>
      </c>
      <c r="G115" s="27">
        <v>11000.0</v>
      </c>
      <c r="H115" s="26"/>
      <c r="I115" s="26" t="s">
        <v>351</v>
      </c>
      <c r="J115" s="26"/>
      <c r="K115" s="26" t="s">
        <v>603</v>
      </c>
      <c r="L115" s="26" t="s">
        <v>47</v>
      </c>
      <c r="M115" s="26" t="s">
        <v>54</v>
      </c>
      <c r="N115" s="26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</row>
    <row r="116" ht="15.75" customHeight="1">
      <c r="A116" s="26">
        <v>115.0</v>
      </c>
      <c r="B116" s="17">
        <v>45816.0</v>
      </c>
      <c r="C116" s="26" t="s">
        <v>802</v>
      </c>
      <c r="D116" s="26"/>
      <c r="E116" s="26" t="s">
        <v>803</v>
      </c>
      <c r="F116" s="26" t="s">
        <v>39</v>
      </c>
      <c r="G116" s="27">
        <v>2100.0</v>
      </c>
      <c r="H116" s="26"/>
      <c r="I116" s="28">
        <v>45750.0</v>
      </c>
      <c r="J116" s="26"/>
      <c r="K116" s="26" t="s">
        <v>603</v>
      </c>
      <c r="L116" s="26" t="s">
        <v>47</v>
      </c>
      <c r="M116" s="26" t="s">
        <v>54</v>
      </c>
      <c r="N116" s="26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</row>
    <row r="117" ht="15.75" customHeight="1">
      <c r="A117" s="26">
        <v>116.0</v>
      </c>
      <c r="B117" s="17">
        <v>45816.0</v>
      </c>
      <c r="C117" s="26" t="s">
        <v>804</v>
      </c>
      <c r="D117" s="26">
        <v>9.814049606E9</v>
      </c>
      <c r="E117" s="26" t="s">
        <v>805</v>
      </c>
      <c r="F117" s="26" t="s">
        <v>39</v>
      </c>
      <c r="G117" s="27">
        <v>11000.0</v>
      </c>
      <c r="H117" s="26"/>
      <c r="I117" s="28">
        <v>45660.0</v>
      </c>
      <c r="J117" s="26"/>
      <c r="K117" s="26" t="s">
        <v>45</v>
      </c>
      <c r="L117" s="26" t="s">
        <v>47</v>
      </c>
      <c r="M117" s="26" t="s">
        <v>806</v>
      </c>
      <c r="N117" s="26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</row>
    <row r="118" ht="15.75" customHeight="1">
      <c r="A118" s="26">
        <v>117.0</v>
      </c>
      <c r="B118" s="17">
        <v>45816.0</v>
      </c>
      <c r="C118" s="26" t="s">
        <v>807</v>
      </c>
      <c r="D118" s="26">
        <v>7.814488058E9</v>
      </c>
      <c r="E118" s="26" t="s">
        <v>808</v>
      </c>
      <c r="F118" s="26" t="s">
        <v>39</v>
      </c>
      <c r="G118" s="27">
        <v>3000.0</v>
      </c>
      <c r="H118" s="26"/>
      <c r="I118" s="28">
        <v>45691.0</v>
      </c>
      <c r="J118" s="26"/>
      <c r="K118" s="26" t="s">
        <v>45</v>
      </c>
      <c r="L118" s="26" t="s">
        <v>47</v>
      </c>
      <c r="M118" s="26" t="s">
        <v>809</v>
      </c>
      <c r="N118" s="26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</row>
    <row r="119" ht="15.75" customHeight="1">
      <c r="A119" s="26">
        <v>118.0</v>
      </c>
      <c r="B119" s="17">
        <v>45816.0</v>
      </c>
      <c r="C119" s="26" t="s">
        <v>810</v>
      </c>
      <c r="D119" s="26"/>
      <c r="E119" s="26" t="s">
        <v>811</v>
      </c>
      <c r="F119" s="26" t="s">
        <v>39</v>
      </c>
      <c r="G119" s="27">
        <v>500.0</v>
      </c>
      <c r="H119" s="26"/>
      <c r="I119" s="28">
        <v>45719.0</v>
      </c>
      <c r="J119" s="26"/>
      <c r="K119" s="26" t="s">
        <v>45</v>
      </c>
      <c r="L119" s="26" t="s">
        <v>47</v>
      </c>
      <c r="M119" s="26" t="s">
        <v>806</v>
      </c>
      <c r="N119" s="26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</row>
    <row r="120" ht="15.75" customHeight="1">
      <c r="A120" s="26">
        <v>119.0</v>
      </c>
      <c r="B120" s="17">
        <v>45816.0</v>
      </c>
      <c r="C120" s="26" t="s">
        <v>813</v>
      </c>
      <c r="D120" s="26">
        <v>8.69982105E9</v>
      </c>
      <c r="E120" s="26" t="s">
        <v>814</v>
      </c>
      <c r="F120" s="26" t="s">
        <v>39</v>
      </c>
      <c r="G120" s="27">
        <v>5100.0</v>
      </c>
      <c r="H120" s="26"/>
      <c r="I120" s="28">
        <v>45780.0</v>
      </c>
      <c r="J120" s="26"/>
      <c r="K120" s="26" t="s">
        <v>603</v>
      </c>
      <c r="L120" s="26" t="s">
        <v>47</v>
      </c>
      <c r="M120" s="26" t="s">
        <v>54</v>
      </c>
      <c r="N120" s="26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</row>
    <row r="121" ht="15.75" customHeight="1">
      <c r="A121" s="26">
        <v>120.0</v>
      </c>
      <c r="B121" s="17">
        <v>45816.0</v>
      </c>
      <c r="C121" s="26" t="s">
        <v>815</v>
      </c>
      <c r="D121" s="26"/>
      <c r="E121" s="26" t="s">
        <v>816</v>
      </c>
      <c r="F121" s="26" t="s">
        <v>39</v>
      </c>
      <c r="G121" s="27">
        <v>500.0</v>
      </c>
      <c r="H121" s="26"/>
      <c r="I121" s="28">
        <v>45811.0</v>
      </c>
      <c r="J121" s="26"/>
      <c r="K121" s="26" t="s">
        <v>603</v>
      </c>
      <c r="L121" s="26" t="s">
        <v>47</v>
      </c>
      <c r="M121" s="26" t="s">
        <v>54</v>
      </c>
      <c r="N121" s="26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</row>
    <row r="122" ht="15.75" customHeight="1">
      <c r="A122" s="26">
        <v>121.0</v>
      </c>
      <c r="B122" s="17">
        <v>45817.0</v>
      </c>
      <c r="C122" s="26" t="s">
        <v>818</v>
      </c>
      <c r="D122" s="26">
        <v>9.357243787E9</v>
      </c>
      <c r="E122" s="26" t="s">
        <v>819</v>
      </c>
      <c r="F122" s="26" t="s">
        <v>117</v>
      </c>
      <c r="G122" s="27">
        <v>11000.0</v>
      </c>
      <c r="H122" s="26"/>
      <c r="I122" s="28">
        <v>45841.0</v>
      </c>
      <c r="J122" s="26"/>
      <c r="K122" s="26" t="s">
        <v>603</v>
      </c>
      <c r="L122" s="26" t="s">
        <v>47</v>
      </c>
      <c r="M122" s="26" t="s">
        <v>54</v>
      </c>
      <c r="N122" s="26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</row>
    <row r="123" ht="15.75" customHeight="1">
      <c r="A123" s="26">
        <v>122.0</v>
      </c>
      <c r="B123" s="17">
        <v>45817.0</v>
      </c>
      <c r="C123" s="26" t="s">
        <v>824</v>
      </c>
      <c r="D123" s="26">
        <v>9.872807459E9</v>
      </c>
      <c r="E123" s="26" t="s">
        <v>700</v>
      </c>
      <c r="F123" s="26" t="s">
        <v>117</v>
      </c>
      <c r="G123" s="27">
        <v>2100.0</v>
      </c>
      <c r="H123" s="26"/>
      <c r="I123" s="28">
        <v>45872.0</v>
      </c>
      <c r="J123" s="26"/>
      <c r="K123" s="26" t="s">
        <v>603</v>
      </c>
      <c r="L123" s="26" t="s">
        <v>47</v>
      </c>
      <c r="M123" s="26" t="s">
        <v>54</v>
      </c>
      <c r="N123" s="26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</row>
    <row r="124" ht="15.75" customHeight="1">
      <c r="A124" s="26">
        <v>123.0</v>
      </c>
      <c r="B124" s="17">
        <v>45817.0</v>
      </c>
      <c r="C124" s="26" t="s">
        <v>828</v>
      </c>
      <c r="D124" s="26">
        <v>8.872324314E9</v>
      </c>
      <c r="E124" s="26" t="s">
        <v>829</v>
      </c>
      <c r="F124" s="26" t="s">
        <v>39</v>
      </c>
      <c r="G124" s="27">
        <v>1100.0</v>
      </c>
      <c r="H124" s="26"/>
      <c r="I124" s="28">
        <v>45903.0</v>
      </c>
      <c r="J124" s="26"/>
      <c r="K124" s="26" t="s">
        <v>73</v>
      </c>
      <c r="L124" s="26" t="s">
        <v>47</v>
      </c>
      <c r="M124" s="26" t="s">
        <v>73</v>
      </c>
      <c r="N124" s="26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</row>
    <row r="125" ht="15.75" customHeight="1">
      <c r="A125" s="26">
        <v>124.0</v>
      </c>
      <c r="B125" s="17">
        <v>45817.0</v>
      </c>
      <c r="C125" s="26" t="s">
        <v>833</v>
      </c>
      <c r="D125" s="26" t="s">
        <v>834</v>
      </c>
      <c r="E125" s="26" t="s">
        <v>835</v>
      </c>
      <c r="F125" s="26" t="s">
        <v>39</v>
      </c>
      <c r="G125" s="27">
        <v>5100.0</v>
      </c>
      <c r="H125" s="26"/>
      <c r="I125" s="28">
        <v>45933.0</v>
      </c>
      <c r="J125" s="26"/>
      <c r="K125" s="26" t="s">
        <v>73</v>
      </c>
      <c r="L125" s="26" t="s">
        <v>47</v>
      </c>
      <c r="M125" s="26" t="s">
        <v>73</v>
      </c>
      <c r="N125" s="26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</row>
    <row r="126" ht="15.75" customHeight="1">
      <c r="A126" s="26">
        <v>125.0</v>
      </c>
      <c r="B126" s="17">
        <v>45817.0</v>
      </c>
      <c r="C126" s="26" t="s">
        <v>839</v>
      </c>
      <c r="D126" s="26">
        <v>8.288034881E9</v>
      </c>
      <c r="E126" s="26" t="s">
        <v>653</v>
      </c>
      <c r="F126" s="26" t="s">
        <v>39</v>
      </c>
      <c r="G126" s="27">
        <v>2000.0</v>
      </c>
      <c r="H126" s="26"/>
      <c r="I126" s="28">
        <v>45964.0</v>
      </c>
      <c r="J126" s="26"/>
      <c r="K126" s="26" t="s">
        <v>603</v>
      </c>
      <c r="L126" s="26" t="s">
        <v>47</v>
      </c>
      <c r="M126" s="26" t="s">
        <v>54</v>
      </c>
      <c r="N126" s="26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</row>
    <row r="127" ht="15.75" customHeight="1">
      <c r="A127" s="26">
        <v>126.0</v>
      </c>
      <c r="B127" s="17">
        <v>45817.0</v>
      </c>
      <c r="C127" s="26" t="s">
        <v>145</v>
      </c>
      <c r="D127" s="26"/>
      <c r="E127" s="26" t="s">
        <v>845</v>
      </c>
      <c r="F127" s="26" t="s">
        <v>39</v>
      </c>
      <c r="G127" s="27">
        <v>1000.0</v>
      </c>
      <c r="H127" s="26"/>
      <c r="I127" s="28">
        <v>45994.0</v>
      </c>
      <c r="J127" s="26"/>
      <c r="K127" s="26" t="s">
        <v>603</v>
      </c>
      <c r="L127" s="26" t="s">
        <v>47</v>
      </c>
      <c r="M127" s="26" t="s">
        <v>121</v>
      </c>
      <c r="N127" s="26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</row>
    <row r="128" ht="15.75" customHeight="1">
      <c r="A128" s="26">
        <v>127.0</v>
      </c>
      <c r="B128" s="17">
        <v>45817.0</v>
      </c>
      <c r="C128" s="26" t="s">
        <v>848</v>
      </c>
      <c r="D128" s="26">
        <v>9.888709888E9</v>
      </c>
      <c r="E128" s="26" t="s">
        <v>849</v>
      </c>
      <c r="F128" s="26" t="s">
        <v>39</v>
      </c>
      <c r="G128" s="27">
        <v>5000.0</v>
      </c>
      <c r="H128" s="26"/>
      <c r="I128" s="26" t="s">
        <v>450</v>
      </c>
      <c r="J128" s="26"/>
      <c r="K128" s="26" t="s">
        <v>603</v>
      </c>
      <c r="L128" s="26" t="s">
        <v>47</v>
      </c>
      <c r="M128" s="26" t="s">
        <v>54</v>
      </c>
      <c r="N128" s="26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</row>
    <row r="129" ht="15.75" customHeight="1">
      <c r="A129" s="26">
        <v>128.0</v>
      </c>
      <c r="B129" s="17">
        <v>45818.0</v>
      </c>
      <c r="C129" s="26" t="s">
        <v>853</v>
      </c>
      <c r="D129" s="26"/>
      <c r="E129" s="26" t="s">
        <v>854</v>
      </c>
      <c r="F129" s="26" t="s">
        <v>39</v>
      </c>
      <c r="G129" s="27">
        <v>2100.0</v>
      </c>
      <c r="H129" s="26"/>
      <c r="I129" s="26" t="s">
        <v>453</v>
      </c>
      <c r="J129" s="26"/>
      <c r="K129" s="26" t="s">
        <v>603</v>
      </c>
      <c r="L129" s="26" t="s">
        <v>47</v>
      </c>
      <c r="M129" s="26" t="s">
        <v>54</v>
      </c>
      <c r="N129" s="26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</row>
    <row r="130" ht="15.75" customHeight="1">
      <c r="A130" s="26">
        <v>129.0</v>
      </c>
      <c r="B130" s="17">
        <v>45818.0</v>
      </c>
      <c r="C130" s="26" t="s">
        <v>857</v>
      </c>
      <c r="D130" s="26"/>
      <c r="E130" s="26" t="s">
        <v>858</v>
      </c>
      <c r="F130" s="26" t="s">
        <v>39</v>
      </c>
      <c r="G130" s="27">
        <v>5100.0</v>
      </c>
      <c r="H130" s="26"/>
      <c r="I130" s="26" t="s">
        <v>456</v>
      </c>
      <c r="J130" s="26"/>
      <c r="K130" s="26" t="s">
        <v>603</v>
      </c>
      <c r="L130" s="26" t="s">
        <v>47</v>
      </c>
      <c r="M130" s="26" t="s">
        <v>54</v>
      </c>
      <c r="N130" s="26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</row>
    <row r="131" ht="15.75" customHeight="1">
      <c r="A131" s="26">
        <v>130.0</v>
      </c>
      <c r="B131" s="17">
        <v>45818.0</v>
      </c>
      <c r="C131" s="26" t="s">
        <v>861</v>
      </c>
      <c r="D131" s="26"/>
      <c r="E131" s="26"/>
      <c r="F131" s="26" t="s">
        <v>117</v>
      </c>
      <c r="G131" s="27">
        <v>5100.0</v>
      </c>
      <c r="H131" s="26"/>
      <c r="I131" s="26" t="s">
        <v>459</v>
      </c>
      <c r="J131" s="26"/>
      <c r="K131" s="26" t="s">
        <v>603</v>
      </c>
      <c r="L131" s="26" t="s">
        <v>47</v>
      </c>
      <c r="M131" s="26" t="s">
        <v>54</v>
      </c>
      <c r="N131" s="26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</row>
    <row r="132" ht="15.75" customHeight="1">
      <c r="A132" s="26">
        <v>131.0</v>
      </c>
      <c r="B132" s="17">
        <v>45818.0</v>
      </c>
      <c r="C132" s="26" t="s">
        <v>865</v>
      </c>
      <c r="D132" s="26"/>
      <c r="E132" s="26"/>
      <c r="F132" s="26" t="s">
        <v>39</v>
      </c>
      <c r="G132" s="27">
        <v>1300.0</v>
      </c>
      <c r="H132" s="26"/>
      <c r="I132" s="26" t="s">
        <v>465</v>
      </c>
      <c r="J132" s="26"/>
      <c r="K132" s="26" t="s">
        <v>866</v>
      </c>
      <c r="L132" s="26" t="s">
        <v>47</v>
      </c>
      <c r="M132" s="26" t="s">
        <v>866</v>
      </c>
      <c r="N132" s="26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</row>
    <row r="133" ht="15.75" customHeight="1">
      <c r="A133" s="26">
        <v>132.0</v>
      </c>
      <c r="B133" s="17">
        <v>45818.0</v>
      </c>
      <c r="C133" s="26" t="s">
        <v>865</v>
      </c>
      <c r="D133" s="26"/>
      <c r="E133" s="26"/>
      <c r="F133" s="26" t="s">
        <v>39</v>
      </c>
      <c r="G133" s="27">
        <v>300.0</v>
      </c>
      <c r="H133" s="26"/>
      <c r="I133" s="26" t="s">
        <v>468</v>
      </c>
      <c r="J133" s="26"/>
      <c r="K133" s="26" t="s">
        <v>866</v>
      </c>
      <c r="L133" s="26" t="s">
        <v>47</v>
      </c>
      <c r="M133" s="26" t="s">
        <v>866</v>
      </c>
      <c r="N133" s="26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</row>
    <row r="134" ht="15.75" customHeight="1">
      <c r="A134" s="26">
        <v>133.0</v>
      </c>
      <c r="B134" s="17">
        <v>45818.0</v>
      </c>
      <c r="C134" s="26" t="s">
        <v>871</v>
      </c>
      <c r="D134" s="26">
        <v>9.878470495E9</v>
      </c>
      <c r="E134" s="26" t="s">
        <v>872</v>
      </c>
      <c r="F134" s="26" t="s">
        <v>39</v>
      </c>
      <c r="G134" s="27">
        <v>1100.0</v>
      </c>
      <c r="H134" s="26"/>
      <c r="I134" s="26" t="s">
        <v>490</v>
      </c>
      <c r="J134" s="26"/>
      <c r="K134" s="26" t="s">
        <v>45</v>
      </c>
      <c r="L134" s="26" t="s">
        <v>47</v>
      </c>
      <c r="M134" s="26" t="s">
        <v>61</v>
      </c>
      <c r="N134" s="26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</row>
    <row r="135" ht="15.75" customHeight="1">
      <c r="A135" s="26">
        <v>134.0</v>
      </c>
      <c r="B135" s="17">
        <v>45823.0</v>
      </c>
      <c r="C135" s="26" t="s">
        <v>873</v>
      </c>
      <c r="D135" s="26">
        <v>9.877286205E9</v>
      </c>
      <c r="E135" s="26" t="s">
        <v>874</v>
      </c>
      <c r="F135" s="26" t="s">
        <v>39</v>
      </c>
      <c r="G135" s="27">
        <v>11000.0</v>
      </c>
      <c r="H135" s="26"/>
      <c r="I135" s="26" t="s">
        <v>483</v>
      </c>
      <c r="J135" s="26"/>
      <c r="K135" s="26" t="s">
        <v>129</v>
      </c>
      <c r="L135" s="26" t="s">
        <v>47</v>
      </c>
      <c r="M135" s="26" t="s">
        <v>131</v>
      </c>
      <c r="N135" s="26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</row>
    <row r="136" ht="15.75" customHeight="1">
      <c r="A136" s="26">
        <v>135.0</v>
      </c>
      <c r="B136" s="17">
        <v>45823.0</v>
      </c>
      <c r="C136" s="26" t="s">
        <v>875</v>
      </c>
      <c r="D136" s="26">
        <v>9.855328206E9</v>
      </c>
      <c r="E136" s="26" t="s">
        <v>876</v>
      </c>
      <c r="F136" s="26" t="s">
        <v>117</v>
      </c>
      <c r="G136" s="27">
        <v>3100.0</v>
      </c>
      <c r="H136" s="26"/>
      <c r="I136" s="26" t="s">
        <v>488</v>
      </c>
      <c r="J136" s="26"/>
      <c r="K136" s="26" t="s">
        <v>603</v>
      </c>
      <c r="L136" s="26" t="s">
        <v>47</v>
      </c>
      <c r="M136" s="26" t="s">
        <v>54</v>
      </c>
      <c r="N136" s="26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</row>
    <row r="137" ht="15.75" customHeight="1">
      <c r="A137" s="26">
        <v>136.0</v>
      </c>
      <c r="B137" s="17">
        <v>45822.0</v>
      </c>
      <c r="C137" s="26" t="s">
        <v>877</v>
      </c>
      <c r="D137" s="26">
        <v>8.727012007E9</v>
      </c>
      <c r="E137" s="26" t="s">
        <v>878</v>
      </c>
      <c r="F137" s="26" t="s">
        <v>39</v>
      </c>
      <c r="G137" s="27">
        <v>5100.0</v>
      </c>
      <c r="H137" s="26"/>
      <c r="I137" s="26" t="s">
        <v>476</v>
      </c>
      <c r="J137" s="26"/>
      <c r="K137" s="26" t="s">
        <v>174</v>
      </c>
      <c r="L137" s="26" t="s">
        <v>47</v>
      </c>
      <c r="M137" s="26" t="s">
        <v>106</v>
      </c>
      <c r="N137" s="26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</row>
    <row r="138" ht="15.75" customHeight="1">
      <c r="A138" s="26">
        <v>137.0</v>
      </c>
      <c r="B138" s="17">
        <v>45822.0</v>
      </c>
      <c r="C138" s="26" t="s">
        <v>879</v>
      </c>
      <c r="D138" s="26">
        <v>7.696739379E9</v>
      </c>
      <c r="E138" s="26" t="s">
        <v>880</v>
      </c>
      <c r="F138" s="26" t="s">
        <v>39</v>
      </c>
      <c r="G138" s="27">
        <v>1001.0</v>
      </c>
      <c r="H138" s="26"/>
      <c r="I138" s="26" t="s">
        <v>472</v>
      </c>
      <c r="J138" s="26"/>
      <c r="K138" s="26" t="s">
        <v>344</v>
      </c>
      <c r="L138" s="26" t="s">
        <v>47</v>
      </c>
      <c r="M138" s="26" t="s">
        <v>344</v>
      </c>
      <c r="N138" s="26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</row>
    <row r="139" ht="15.75" customHeight="1">
      <c r="A139" s="26">
        <v>138.0</v>
      </c>
      <c r="B139" s="17">
        <v>45823.0</v>
      </c>
      <c r="C139" s="26" t="s">
        <v>881</v>
      </c>
      <c r="D139" s="26">
        <v>9.467819249E9</v>
      </c>
      <c r="E139" s="26" t="s">
        <v>882</v>
      </c>
      <c r="F139" s="26" t="s">
        <v>39</v>
      </c>
      <c r="G139" s="27">
        <v>1100.0</v>
      </c>
      <c r="H139" s="26"/>
      <c r="I139" s="26" t="s">
        <v>883</v>
      </c>
      <c r="J139" s="26"/>
      <c r="K139" s="26" t="s">
        <v>45</v>
      </c>
      <c r="L139" s="26" t="s">
        <v>47</v>
      </c>
      <c r="M139" s="26" t="s">
        <v>61</v>
      </c>
      <c r="N139" s="26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</row>
    <row r="140" ht="15.75" customHeight="1">
      <c r="A140" s="26">
        <v>139.0</v>
      </c>
      <c r="B140" s="17">
        <v>45822.0</v>
      </c>
      <c r="C140" s="26" t="s">
        <v>884</v>
      </c>
      <c r="D140" s="26">
        <v>9.872790372E9</v>
      </c>
      <c r="E140" s="26" t="s">
        <v>885</v>
      </c>
      <c r="F140" s="26" t="s">
        <v>39</v>
      </c>
      <c r="G140" s="27">
        <v>11000.0</v>
      </c>
      <c r="H140" s="26"/>
      <c r="I140" s="26" t="s">
        <v>470</v>
      </c>
      <c r="J140" s="26"/>
      <c r="K140" s="26" t="s">
        <v>603</v>
      </c>
      <c r="L140" s="26" t="s">
        <v>47</v>
      </c>
      <c r="M140" s="26" t="s">
        <v>54</v>
      </c>
      <c r="N140" s="26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</row>
    <row r="141" ht="15.75" customHeight="1">
      <c r="A141" s="26">
        <v>140.0</v>
      </c>
      <c r="B141" s="17">
        <v>45817.0</v>
      </c>
      <c r="C141" s="26" t="s">
        <v>886</v>
      </c>
      <c r="D141" s="26"/>
      <c r="E141" s="26" t="s">
        <v>887</v>
      </c>
      <c r="F141" s="26" t="s">
        <v>39</v>
      </c>
      <c r="G141" s="27">
        <v>11000.0</v>
      </c>
      <c r="H141" s="26"/>
      <c r="I141" s="28">
        <v>45661.0</v>
      </c>
      <c r="J141" s="26"/>
      <c r="K141" s="26" t="s">
        <v>764</v>
      </c>
      <c r="L141" s="26" t="s">
        <v>47</v>
      </c>
      <c r="M141" s="26" t="s">
        <v>171</v>
      </c>
      <c r="N141" s="26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</row>
    <row r="142" ht="15.75" customHeight="1">
      <c r="A142" s="26">
        <v>141.0</v>
      </c>
      <c r="B142" s="17">
        <v>45817.0</v>
      </c>
      <c r="C142" s="26" t="s">
        <v>888</v>
      </c>
      <c r="D142" s="26"/>
      <c r="E142" s="26" t="s">
        <v>889</v>
      </c>
      <c r="F142" s="26" t="s">
        <v>39</v>
      </c>
      <c r="G142" s="27">
        <v>5100.0</v>
      </c>
      <c r="H142" s="26"/>
      <c r="I142" s="28">
        <v>45692.0</v>
      </c>
      <c r="J142" s="26"/>
      <c r="K142" s="26" t="s">
        <v>764</v>
      </c>
      <c r="L142" s="26" t="s">
        <v>47</v>
      </c>
      <c r="M142" s="26" t="s">
        <v>171</v>
      </c>
      <c r="N142" s="26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</row>
    <row r="143" ht="15.75" customHeight="1">
      <c r="A143" s="26">
        <v>142.0</v>
      </c>
      <c r="B143" s="17">
        <v>45817.0</v>
      </c>
      <c r="C143" s="26" t="s">
        <v>890</v>
      </c>
      <c r="D143" s="26"/>
      <c r="E143" s="26" t="s">
        <v>891</v>
      </c>
      <c r="F143" s="26" t="s">
        <v>39</v>
      </c>
      <c r="G143" s="27">
        <v>500.0</v>
      </c>
      <c r="H143" s="26"/>
      <c r="I143" s="28">
        <v>45720.0</v>
      </c>
      <c r="J143" s="26"/>
      <c r="K143" s="26" t="s">
        <v>764</v>
      </c>
      <c r="L143" s="26" t="s">
        <v>47</v>
      </c>
      <c r="M143" s="26" t="s">
        <v>171</v>
      </c>
      <c r="N143" s="26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</row>
    <row r="144" ht="15.75" customHeight="1">
      <c r="A144" s="26">
        <v>143.0</v>
      </c>
      <c r="B144" s="17">
        <v>45817.0</v>
      </c>
      <c r="C144" s="26" t="s">
        <v>892</v>
      </c>
      <c r="D144" s="26"/>
      <c r="E144" s="26" t="s">
        <v>893</v>
      </c>
      <c r="F144" s="26" t="s">
        <v>39</v>
      </c>
      <c r="G144" s="27">
        <v>5100.0</v>
      </c>
      <c r="H144" s="26"/>
      <c r="I144" s="28">
        <v>45751.0</v>
      </c>
      <c r="J144" s="26"/>
      <c r="K144" s="26" t="s">
        <v>764</v>
      </c>
      <c r="L144" s="26" t="s">
        <v>47</v>
      </c>
      <c r="M144" s="26" t="s">
        <v>171</v>
      </c>
      <c r="N144" s="26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</row>
    <row r="145" ht="15.75" customHeight="1">
      <c r="A145" s="26">
        <v>144.0</v>
      </c>
      <c r="B145" s="17">
        <v>45817.0</v>
      </c>
      <c r="C145" s="26" t="s">
        <v>894</v>
      </c>
      <c r="D145" s="26"/>
      <c r="E145" s="26" t="s">
        <v>895</v>
      </c>
      <c r="F145" s="26" t="s">
        <v>39</v>
      </c>
      <c r="G145" s="27">
        <v>501.0</v>
      </c>
      <c r="H145" s="26"/>
      <c r="I145" s="28">
        <v>45781.0</v>
      </c>
      <c r="J145" s="26"/>
      <c r="K145" s="26" t="s">
        <v>764</v>
      </c>
      <c r="L145" s="26" t="s">
        <v>47</v>
      </c>
      <c r="M145" s="26" t="s">
        <v>171</v>
      </c>
      <c r="N145" s="26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</row>
    <row r="146" ht="15.75" customHeight="1">
      <c r="A146" s="26">
        <v>145.0</v>
      </c>
      <c r="B146" s="17">
        <v>45817.0</v>
      </c>
      <c r="C146" s="26" t="s">
        <v>896</v>
      </c>
      <c r="D146" s="26"/>
      <c r="E146" s="26" t="s">
        <v>897</v>
      </c>
      <c r="F146" s="26" t="s">
        <v>39</v>
      </c>
      <c r="G146" s="27">
        <v>1100.0</v>
      </c>
      <c r="H146" s="26"/>
      <c r="I146" s="28">
        <v>45812.0</v>
      </c>
      <c r="J146" s="26"/>
      <c r="K146" s="26" t="s">
        <v>764</v>
      </c>
      <c r="L146" s="26" t="s">
        <v>47</v>
      </c>
      <c r="M146" s="26" t="s">
        <v>171</v>
      </c>
      <c r="N146" s="26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</row>
    <row r="147" ht="15.75" customHeight="1">
      <c r="A147" s="26">
        <v>146.0</v>
      </c>
      <c r="B147" s="17">
        <v>45817.0</v>
      </c>
      <c r="C147" s="26" t="s">
        <v>898</v>
      </c>
      <c r="D147" s="26"/>
      <c r="E147" s="26" t="s">
        <v>899</v>
      </c>
      <c r="F147" s="26" t="s">
        <v>39</v>
      </c>
      <c r="G147" s="27">
        <v>500.0</v>
      </c>
      <c r="H147" s="26"/>
      <c r="I147" s="28">
        <v>45842.0</v>
      </c>
      <c r="J147" s="26"/>
      <c r="K147" s="26" t="s">
        <v>764</v>
      </c>
      <c r="L147" s="26" t="s">
        <v>47</v>
      </c>
      <c r="M147" s="26" t="s">
        <v>171</v>
      </c>
      <c r="N147" s="26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</row>
    <row r="148" ht="15.75" customHeight="1">
      <c r="A148" s="26">
        <v>147.0</v>
      </c>
      <c r="B148" s="17">
        <v>45819.0</v>
      </c>
      <c r="C148" s="26" t="s">
        <v>900</v>
      </c>
      <c r="D148" s="26"/>
      <c r="E148" s="26" t="s">
        <v>901</v>
      </c>
      <c r="F148" s="26" t="s">
        <v>39</v>
      </c>
      <c r="G148" s="27">
        <v>5100.0</v>
      </c>
      <c r="H148" s="26"/>
      <c r="I148" s="26" t="s">
        <v>902</v>
      </c>
      <c r="J148" s="26"/>
      <c r="K148" s="26" t="s">
        <v>764</v>
      </c>
      <c r="L148" s="26" t="s">
        <v>47</v>
      </c>
      <c r="M148" s="26" t="s">
        <v>171</v>
      </c>
      <c r="N148" s="26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</row>
    <row r="149" ht="15.75" customHeight="1">
      <c r="A149" s="26">
        <v>148.0</v>
      </c>
      <c r="B149" s="17">
        <v>45819.0</v>
      </c>
      <c r="C149" s="26" t="s">
        <v>903</v>
      </c>
      <c r="D149" s="26"/>
      <c r="E149" s="26" t="s">
        <v>698</v>
      </c>
      <c r="F149" s="26" t="s">
        <v>117</v>
      </c>
      <c r="G149" s="27">
        <v>101.0</v>
      </c>
      <c r="H149" s="26"/>
      <c r="I149" s="26" t="s">
        <v>904</v>
      </c>
      <c r="J149" s="26"/>
      <c r="K149" s="26" t="s">
        <v>764</v>
      </c>
      <c r="L149" s="26" t="s">
        <v>47</v>
      </c>
      <c r="M149" s="26" t="s">
        <v>171</v>
      </c>
      <c r="N149" s="26" t="s">
        <v>905</v>
      </c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</row>
    <row r="150" ht="15.75" customHeight="1">
      <c r="A150" s="26">
        <v>149.0</v>
      </c>
      <c r="B150" s="17">
        <v>45819.0</v>
      </c>
      <c r="C150" s="26" t="s">
        <v>906</v>
      </c>
      <c r="D150" s="26"/>
      <c r="E150" s="26" t="s">
        <v>907</v>
      </c>
      <c r="F150" s="26" t="s">
        <v>117</v>
      </c>
      <c r="G150" s="27">
        <v>11000.0</v>
      </c>
      <c r="H150" s="26"/>
      <c r="I150" s="26" t="s">
        <v>908</v>
      </c>
      <c r="J150" s="26"/>
      <c r="K150" s="26" t="s">
        <v>764</v>
      </c>
      <c r="L150" s="26" t="s">
        <v>47</v>
      </c>
      <c r="M150" s="26" t="s">
        <v>171</v>
      </c>
      <c r="N150" s="26" t="s">
        <v>905</v>
      </c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</row>
    <row r="151" ht="15.75" customHeight="1">
      <c r="A151" s="26">
        <v>150.0</v>
      </c>
      <c r="B151" s="17">
        <v>45819.0</v>
      </c>
      <c r="C151" s="26" t="s">
        <v>909</v>
      </c>
      <c r="D151" s="26"/>
      <c r="E151" s="26" t="s">
        <v>907</v>
      </c>
      <c r="F151" s="26" t="s">
        <v>117</v>
      </c>
      <c r="G151" s="27">
        <v>1100.0</v>
      </c>
      <c r="H151" s="26"/>
      <c r="I151" s="26" t="s">
        <v>911</v>
      </c>
      <c r="J151" s="26"/>
      <c r="K151" s="26" t="s">
        <v>764</v>
      </c>
      <c r="L151" s="26" t="s">
        <v>47</v>
      </c>
      <c r="M151" s="26" t="s">
        <v>171</v>
      </c>
      <c r="N151" s="26" t="s">
        <v>905</v>
      </c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</row>
    <row r="152" ht="15.75" customHeight="1">
      <c r="A152" s="26">
        <v>151.0</v>
      </c>
      <c r="B152" s="17">
        <v>45819.0</v>
      </c>
      <c r="C152" s="26" t="s">
        <v>913</v>
      </c>
      <c r="D152" s="26"/>
      <c r="E152" s="26" t="s">
        <v>915</v>
      </c>
      <c r="F152" s="26" t="s">
        <v>39</v>
      </c>
      <c r="G152" s="27">
        <v>1100.0</v>
      </c>
      <c r="H152" s="26"/>
      <c r="I152" s="26" t="s">
        <v>916</v>
      </c>
      <c r="J152" s="26"/>
      <c r="K152" s="26" t="s">
        <v>764</v>
      </c>
      <c r="L152" s="26" t="s">
        <v>47</v>
      </c>
      <c r="M152" s="26" t="s">
        <v>171</v>
      </c>
      <c r="N152" s="26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</row>
    <row r="153" ht="15.75" customHeight="1">
      <c r="A153" s="26">
        <v>152.0</v>
      </c>
      <c r="B153" s="17">
        <v>45819.0</v>
      </c>
      <c r="C153" s="26" t="s">
        <v>918</v>
      </c>
      <c r="D153" s="26"/>
      <c r="E153" s="26" t="s">
        <v>919</v>
      </c>
      <c r="F153" s="26" t="s">
        <v>39</v>
      </c>
      <c r="G153" s="27">
        <v>5100.0</v>
      </c>
      <c r="H153" s="26"/>
      <c r="I153" s="26" t="s">
        <v>921</v>
      </c>
      <c r="J153" s="26"/>
      <c r="K153" s="26" t="s">
        <v>764</v>
      </c>
      <c r="L153" s="26" t="s">
        <v>47</v>
      </c>
      <c r="M153" s="26" t="s">
        <v>171</v>
      </c>
      <c r="N153" s="26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</row>
    <row r="154" ht="15.75" customHeight="1">
      <c r="A154" s="26">
        <v>153.0</v>
      </c>
      <c r="B154" s="17">
        <v>45819.0</v>
      </c>
      <c r="C154" s="26" t="s">
        <v>922</v>
      </c>
      <c r="D154" s="26"/>
      <c r="E154" s="26" t="s">
        <v>924</v>
      </c>
      <c r="F154" s="26" t="s">
        <v>39</v>
      </c>
      <c r="G154" s="27">
        <v>500.0</v>
      </c>
      <c r="H154" s="26"/>
      <c r="I154" s="26" t="s">
        <v>926</v>
      </c>
      <c r="J154" s="26"/>
      <c r="K154" s="26" t="s">
        <v>764</v>
      </c>
      <c r="L154" s="26" t="s">
        <v>47</v>
      </c>
      <c r="M154" s="26" t="s">
        <v>171</v>
      </c>
      <c r="N154" s="26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</row>
    <row r="155" ht="15.75" customHeight="1">
      <c r="A155" s="26">
        <v>154.0</v>
      </c>
      <c r="B155" s="17">
        <v>45819.0</v>
      </c>
      <c r="C155" s="26" t="s">
        <v>145</v>
      </c>
      <c r="D155" s="26"/>
      <c r="E155" s="26" t="s">
        <v>928</v>
      </c>
      <c r="F155" s="26" t="s">
        <v>39</v>
      </c>
      <c r="G155" s="27">
        <v>2100.0</v>
      </c>
      <c r="H155" s="26"/>
      <c r="I155" s="26" t="s">
        <v>930</v>
      </c>
      <c r="J155" s="26"/>
      <c r="K155" s="26" t="s">
        <v>764</v>
      </c>
      <c r="L155" s="26" t="s">
        <v>47</v>
      </c>
      <c r="M155" s="26" t="s">
        <v>171</v>
      </c>
      <c r="N155" s="26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</row>
    <row r="156" ht="15.75" customHeight="1">
      <c r="A156" s="26">
        <v>155.0</v>
      </c>
      <c r="B156" s="17">
        <v>45821.0</v>
      </c>
      <c r="C156" s="26" t="s">
        <v>932</v>
      </c>
      <c r="D156" s="26"/>
      <c r="E156" s="26" t="s">
        <v>933</v>
      </c>
      <c r="F156" s="26" t="s">
        <v>39</v>
      </c>
      <c r="G156" s="27">
        <v>5756.0</v>
      </c>
      <c r="H156" s="26"/>
      <c r="I156" s="26" t="s">
        <v>934</v>
      </c>
      <c r="J156" s="26"/>
      <c r="K156" s="26" t="s">
        <v>764</v>
      </c>
      <c r="L156" s="26" t="s">
        <v>47</v>
      </c>
      <c r="M156" s="26" t="s">
        <v>171</v>
      </c>
      <c r="N156" s="26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</row>
    <row r="157" ht="15.75" customHeight="1">
      <c r="A157" s="26">
        <v>156.0</v>
      </c>
      <c r="B157" s="17">
        <v>45821.0</v>
      </c>
      <c r="C157" s="26" t="s">
        <v>936</v>
      </c>
      <c r="D157" s="26"/>
      <c r="E157" s="26" t="s">
        <v>937</v>
      </c>
      <c r="F157" s="26" t="s">
        <v>39</v>
      </c>
      <c r="G157" s="27">
        <v>2100.0</v>
      </c>
      <c r="H157" s="26"/>
      <c r="I157" s="26" t="s">
        <v>939</v>
      </c>
      <c r="J157" s="26"/>
      <c r="K157" s="26" t="s">
        <v>764</v>
      </c>
      <c r="L157" s="26" t="s">
        <v>47</v>
      </c>
      <c r="M157" s="26" t="s">
        <v>171</v>
      </c>
      <c r="N157" s="26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</row>
    <row r="158" ht="15.75" customHeight="1">
      <c r="A158" s="26">
        <v>157.0</v>
      </c>
      <c r="B158" s="17">
        <v>45821.0</v>
      </c>
      <c r="C158" s="26" t="s">
        <v>941</v>
      </c>
      <c r="D158" s="26"/>
      <c r="E158" s="26" t="s">
        <v>942</v>
      </c>
      <c r="F158" s="26" t="s">
        <v>39</v>
      </c>
      <c r="G158" s="27">
        <v>3100.0</v>
      </c>
      <c r="H158" s="26"/>
      <c r="I158" s="26" t="s">
        <v>943</v>
      </c>
      <c r="J158" s="26"/>
      <c r="K158" s="26" t="s">
        <v>764</v>
      </c>
      <c r="L158" s="26" t="s">
        <v>47</v>
      </c>
      <c r="M158" s="26" t="s">
        <v>171</v>
      </c>
      <c r="N158" s="26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</row>
    <row r="159" ht="15.75" customHeight="1">
      <c r="A159" s="26">
        <v>158.0</v>
      </c>
      <c r="B159" s="17">
        <v>45821.0</v>
      </c>
      <c r="C159" s="26" t="s">
        <v>945</v>
      </c>
      <c r="D159" s="26"/>
      <c r="E159" s="26" t="s">
        <v>946</v>
      </c>
      <c r="F159" s="26" t="s">
        <v>39</v>
      </c>
      <c r="G159" s="27">
        <v>2100.0</v>
      </c>
      <c r="H159" s="26"/>
      <c r="I159" s="26" t="s">
        <v>948</v>
      </c>
      <c r="J159" s="26"/>
      <c r="K159" s="26" t="s">
        <v>764</v>
      </c>
      <c r="L159" s="26" t="s">
        <v>47</v>
      </c>
      <c r="M159" s="26" t="s">
        <v>171</v>
      </c>
      <c r="N159" s="26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</row>
    <row r="160" ht="15.75" customHeight="1">
      <c r="A160" s="26">
        <v>159.0</v>
      </c>
      <c r="B160" s="17">
        <v>45821.0</v>
      </c>
      <c r="C160" s="26" t="s">
        <v>949</v>
      </c>
      <c r="D160" s="26"/>
      <c r="E160" s="26" t="s">
        <v>950</v>
      </c>
      <c r="F160" s="26" t="s">
        <v>39</v>
      </c>
      <c r="G160" s="27">
        <v>2100.0</v>
      </c>
      <c r="H160" s="26"/>
      <c r="I160" s="26" t="s">
        <v>951</v>
      </c>
      <c r="J160" s="26"/>
      <c r="K160" s="26" t="s">
        <v>764</v>
      </c>
      <c r="L160" s="26" t="s">
        <v>47</v>
      </c>
      <c r="M160" s="26" t="s">
        <v>171</v>
      </c>
      <c r="N160" s="26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</row>
    <row r="161" ht="15.75" customHeight="1">
      <c r="A161" s="26">
        <v>160.0</v>
      </c>
      <c r="B161" s="17">
        <v>45821.0</v>
      </c>
      <c r="C161" s="26" t="s">
        <v>952</v>
      </c>
      <c r="D161" s="26"/>
      <c r="E161" s="26" t="s">
        <v>953</v>
      </c>
      <c r="F161" s="26" t="s">
        <v>39</v>
      </c>
      <c r="G161" s="27">
        <v>3100.0</v>
      </c>
      <c r="H161" s="26"/>
      <c r="I161" s="26" t="s">
        <v>954</v>
      </c>
      <c r="J161" s="26"/>
      <c r="K161" s="26" t="s">
        <v>764</v>
      </c>
      <c r="L161" s="26" t="s">
        <v>47</v>
      </c>
      <c r="M161" s="26" t="s">
        <v>171</v>
      </c>
      <c r="N161" s="26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</row>
    <row r="162" ht="15.75" customHeight="1">
      <c r="A162" s="26">
        <v>161.0</v>
      </c>
      <c r="B162" s="17">
        <v>45821.0</v>
      </c>
      <c r="C162" s="26" t="s">
        <v>955</v>
      </c>
      <c r="D162" s="26"/>
      <c r="E162" s="26" t="s">
        <v>674</v>
      </c>
      <c r="F162" s="26" t="s">
        <v>39</v>
      </c>
      <c r="G162" s="27">
        <v>1000.0</v>
      </c>
      <c r="H162" s="26"/>
      <c r="I162" s="26" t="s">
        <v>956</v>
      </c>
      <c r="J162" s="26"/>
      <c r="K162" s="26" t="s">
        <v>764</v>
      </c>
      <c r="L162" s="26" t="s">
        <v>47</v>
      </c>
      <c r="M162" s="26" t="s">
        <v>171</v>
      </c>
      <c r="N162" s="26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</row>
    <row r="163" ht="15.75" customHeight="1">
      <c r="A163" s="26">
        <v>162.0</v>
      </c>
      <c r="B163" s="17">
        <v>45821.0</v>
      </c>
      <c r="C163" s="26" t="s">
        <v>848</v>
      </c>
      <c r="D163" s="26"/>
      <c r="E163" s="26" t="s">
        <v>849</v>
      </c>
      <c r="F163" s="26" t="s">
        <v>39</v>
      </c>
      <c r="G163" s="27">
        <v>2100.0</v>
      </c>
      <c r="H163" s="26"/>
      <c r="I163" s="26" t="s">
        <v>957</v>
      </c>
      <c r="J163" s="26"/>
      <c r="K163" s="26" t="s">
        <v>764</v>
      </c>
      <c r="L163" s="26" t="s">
        <v>47</v>
      </c>
      <c r="M163" s="26" t="s">
        <v>171</v>
      </c>
      <c r="N163" s="26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</row>
    <row r="164" ht="15.75" customHeight="1">
      <c r="A164" s="26">
        <v>163.0</v>
      </c>
      <c r="B164" s="17">
        <v>45821.0</v>
      </c>
      <c r="C164" s="26" t="s">
        <v>958</v>
      </c>
      <c r="D164" s="26"/>
      <c r="E164" s="26" t="s">
        <v>959</v>
      </c>
      <c r="F164" s="26" t="s">
        <v>39</v>
      </c>
      <c r="G164" s="27">
        <v>3100.0</v>
      </c>
      <c r="H164" s="26"/>
      <c r="I164" s="26" t="s">
        <v>960</v>
      </c>
      <c r="J164" s="26"/>
      <c r="K164" s="26" t="s">
        <v>764</v>
      </c>
      <c r="L164" s="26" t="s">
        <v>47</v>
      </c>
      <c r="M164" s="26" t="s">
        <v>171</v>
      </c>
      <c r="N164" s="26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</row>
    <row r="165" ht="15.75" customHeight="1">
      <c r="A165" s="26">
        <v>164.0</v>
      </c>
      <c r="B165" s="17">
        <v>45821.0</v>
      </c>
      <c r="C165" s="26" t="s">
        <v>961</v>
      </c>
      <c r="D165" s="26"/>
      <c r="E165" s="26" t="s">
        <v>962</v>
      </c>
      <c r="F165" s="26" t="s">
        <v>39</v>
      </c>
      <c r="G165" s="27">
        <v>11000.0</v>
      </c>
      <c r="H165" s="26"/>
      <c r="I165" s="26" t="s">
        <v>963</v>
      </c>
      <c r="J165" s="26"/>
      <c r="K165" s="26" t="s">
        <v>764</v>
      </c>
      <c r="L165" s="26" t="s">
        <v>47</v>
      </c>
      <c r="M165" s="26" t="s">
        <v>171</v>
      </c>
      <c r="N165" s="26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</row>
    <row r="166" ht="15.75" customHeight="1">
      <c r="A166" s="26">
        <v>165.0</v>
      </c>
      <c r="B166" s="17">
        <v>45821.0</v>
      </c>
      <c r="C166" s="26" t="s">
        <v>964</v>
      </c>
      <c r="D166" s="26"/>
      <c r="E166" s="26" t="s">
        <v>965</v>
      </c>
      <c r="F166" s="26" t="s">
        <v>39</v>
      </c>
      <c r="G166" s="27">
        <v>3100.0</v>
      </c>
      <c r="H166" s="26"/>
      <c r="I166" s="26" t="s">
        <v>966</v>
      </c>
      <c r="J166" s="26"/>
      <c r="K166" s="26" t="s">
        <v>764</v>
      </c>
      <c r="L166" s="26" t="s">
        <v>47</v>
      </c>
      <c r="M166" s="26" t="s">
        <v>171</v>
      </c>
      <c r="N166" s="26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</row>
    <row r="167" ht="15.75" customHeight="1">
      <c r="A167" s="26">
        <v>166.0</v>
      </c>
      <c r="B167" s="17">
        <v>45821.0</v>
      </c>
      <c r="C167" s="26" t="s">
        <v>969</v>
      </c>
      <c r="D167" s="26"/>
      <c r="E167" s="26" t="s">
        <v>970</v>
      </c>
      <c r="F167" s="26" t="s">
        <v>39</v>
      </c>
      <c r="G167" s="27">
        <v>3100.0</v>
      </c>
      <c r="H167" s="26"/>
      <c r="I167" s="26" t="s">
        <v>971</v>
      </c>
      <c r="J167" s="26"/>
      <c r="K167" s="26" t="s">
        <v>764</v>
      </c>
      <c r="L167" s="26" t="s">
        <v>47</v>
      </c>
      <c r="M167" s="26" t="s">
        <v>171</v>
      </c>
      <c r="N167" s="26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</row>
    <row r="168" ht="15.75" customHeight="1">
      <c r="A168" s="26">
        <v>167.0</v>
      </c>
      <c r="B168" s="17">
        <v>45821.0</v>
      </c>
      <c r="C168" s="26" t="s">
        <v>977</v>
      </c>
      <c r="D168" s="26"/>
      <c r="E168" s="26" t="s">
        <v>844</v>
      </c>
      <c r="F168" s="26" t="s">
        <v>39</v>
      </c>
      <c r="G168" s="27">
        <v>2100.0</v>
      </c>
      <c r="H168" s="26"/>
      <c r="I168" s="26" t="s">
        <v>980</v>
      </c>
      <c r="J168" s="26"/>
      <c r="K168" s="26" t="s">
        <v>764</v>
      </c>
      <c r="L168" s="26" t="s">
        <v>47</v>
      </c>
      <c r="M168" s="26" t="s">
        <v>171</v>
      </c>
      <c r="N168" s="26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</row>
    <row r="169" ht="15.75" customHeight="1">
      <c r="A169" s="26">
        <v>168.0</v>
      </c>
      <c r="B169" s="17">
        <v>45821.0</v>
      </c>
      <c r="C169" s="26" t="s">
        <v>984</v>
      </c>
      <c r="D169" s="26"/>
      <c r="E169" s="26" t="s">
        <v>985</v>
      </c>
      <c r="F169" s="26" t="s">
        <v>39</v>
      </c>
      <c r="G169" s="27">
        <v>11000.0</v>
      </c>
      <c r="H169" s="26"/>
      <c r="I169" s="26" t="s">
        <v>988</v>
      </c>
      <c r="J169" s="26"/>
      <c r="K169" s="26" t="s">
        <v>764</v>
      </c>
      <c r="L169" s="26" t="s">
        <v>47</v>
      </c>
      <c r="M169" s="26" t="s">
        <v>171</v>
      </c>
      <c r="N169" s="26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</row>
    <row r="170" ht="15.75" customHeight="1">
      <c r="A170" s="26">
        <v>169.0</v>
      </c>
      <c r="B170" s="17">
        <v>45823.0</v>
      </c>
      <c r="C170" s="26" t="s">
        <v>992</v>
      </c>
      <c r="D170" s="26"/>
      <c r="E170" s="26" t="s">
        <v>993</v>
      </c>
      <c r="F170" s="26" t="s">
        <v>39</v>
      </c>
      <c r="G170" s="27">
        <v>5100.0</v>
      </c>
      <c r="H170" s="26"/>
      <c r="I170" s="26" t="s">
        <v>494</v>
      </c>
      <c r="J170" s="26"/>
      <c r="K170" s="26" t="s">
        <v>45</v>
      </c>
      <c r="L170" s="26" t="s">
        <v>47</v>
      </c>
      <c r="M170" s="26" t="s">
        <v>61</v>
      </c>
      <c r="N170" s="26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</row>
    <row r="171" ht="15.75" customHeight="1">
      <c r="A171" s="26">
        <v>170.0</v>
      </c>
      <c r="B171" s="17">
        <v>45823.0</v>
      </c>
      <c r="C171" s="26" t="s">
        <v>563</v>
      </c>
      <c r="D171" s="26"/>
      <c r="E171" s="26" t="s">
        <v>996</v>
      </c>
      <c r="F171" s="26" t="s">
        <v>39</v>
      </c>
      <c r="G171" s="27">
        <v>21000.0</v>
      </c>
      <c r="H171" s="26"/>
      <c r="I171" s="26" t="s">
        <v>498</v>
      </c>
      <c r="J171" s="26"/>
      <c r="K171" s="26" t="s">
        <v>45</v>
      </c>
      <c r="L171" s="26" t="s">
        <v>47</v>
      </c>
      <c r="M171" s="26" t="s">
        <v>61</v>
      </c>
      <c r="N171" s="26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</row>
    <row r="172" ht="15.75" customHeight="1">
      <c r="A172" s="26">
        <v>171.0</v>
      </c>
      <c r="B172" s="17">
        <v>45817.0</v>
      </c>
      <c r="C172" s="26" t="s">
        <v>997</v>
      </c>
      <c r="D172" s="26"/>
      <c r="E172" s="26" t="s">
        <v>998</v>
      </c>
      <c r="F172" s="26" t="s">
        <v>39</v>
      </c>
      <c r="G172" s="27">
        <v>2100.0</v>
      </c>
      <c r="H172" s="26"/>
      <c r="I172" s="28">
        <v>45873.0</v>
      </c>
      <c r="J172" s="26"/>
      <c r="K172" s="26" t="s">
        <v>764</v>
      </c>
      <c r="L172" s="26" t="s">
        <v>47</v>
      </c>
      <c r="M172" s="26" t="s">
        <v>171</v>
      </c>
      <c r="N172" s="26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</row>
    <row r="173" ht="15.75" customHeight="1">
      <c r="A173" s="26">
        <v>172.0</v>
      </c>
      <c r="B173" s="17">
        <v>45817.0</v>
      </c>
      <c r="C173" s="26" t="s">
        <v>999</v>
      </c>
      <c r="D173" s="26"/>
      <c r="E173" s="26" t="s">
        <v>1000</v>
      </c>
      <c r="F173" s="26" t="s">
        <v>39</v>
      </c>
      <c r="G173" s="27">
        <v>1100.0</v>
      </c>
      <c r="H173" s="26"/>
      <c r="I173" s="28">
        <v>45904.0</v>
      </c>
      <c r="J173" s="26"/>
      <c r="K173" s="26" t="s">
        <v>764</v>
      </c>
      <c r="L173" s="26" t="s">
        <v>47</v>
      </c>
      <c r="M173" s="26" t="s">
        <v>171</v>
      </c>
      <c r="N173" s="26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</row>
    <row r="174" ht="15.75" customHeight="1">
      <c r="A174" s="26">
        <v>173.0</v>
      </c>
      <c r="B174" s="17">
        <v>45817.0</v>
      </c>
      <c r="C174" s="26" t="s">
        <v>1001</v>
      </c>
      <c r="D174" s="26"/>
      <c r="E174" s="26" t="s">
        <v>1002</v>
      </c>
      <c r="F174" s="26" t="s">
        <v>39</v>
      </c>
      <c r="G174" s="27">
        <v>2100.0</v>
      </c>
      <c r="H174" s="26"/>
      <c r="I174" s="28">
        <v>45934.0</v>
      </c>
      <c r="J174" s="26"/>
      <c r="K174" s="26" t="s">
        <v>764</v>
      </c>
      <c r="L174" s="26" t="s">
        <v>47</v>
      </c>
      <c r="M174" s="26" t="s">
        <v>171</v>
      </c>
      <c r="N174" s="26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</row>
    <row r="175" ht="15.75" customHeight="1">
      <c r="A175" s="26">
        <v>174.0</v>
      </c>
      <c r="B175" s="17">
        <v>45817.0</v>
      </c>
      <c r="C175" s="26" t="s">
        <v>1003</v>
      </c>
      <c r="D175" s="26"/>
      <c r="E175" s="26" t="s">
        <v>1004</v>
      </c>
      <c r="F175" s="26" t="s">
        <v>39</v>
      </c>
      <c r="G175" s="27">
        <v>500.0</v>
      </c>
      <c r="H175" s="26"/>
      <c r="I175" s="28">
        <v>45965.0</v>
      </c>
      <c r="J175" s="26"/>
      <c r="K175" s="26" t="s">
        <v>764</v>
      </c>
      <c r="L175" s="26" t="s">
        <v>47</v>
      </c>
      <c r="M175" s="26" t="s">
        <v>171</v>
      </c>
      <c r="N175" s="26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</row>
    <row r="176" ht="15.75" customHeight="1">
      <c r="A176" s="26">
        <v>175.0</v>
      </c>
      <c r="B176" s="17">
        <v>45817.0</v>
      </c>
      <c r="C176" s="26" t="s">
        <v>1005</v>
      </c>
      <c r="D176" s="26"/>
      <c r="E176" s="26" t="s">
        <v>1006</v>
      </c>
      <c r="F176" s="26" t="s">
        <v>39</v>
      </c>
      <c r="G176" s="27">
        <v>1100.0</v>
      </c>
      <c r="H176" s="26"/>
      <c r="I176" s="28">
        <v>45995.0</v>
      </c>
      <c r="J176" s="26"/>
      <c r="K176" s="26" t="s">
        <v>764</v>
      </c>
      <c r="L176" s="26" t="s">
        <v>47</v>
      </c>
      <c r="M176" s="26" t="s">
        <v>171</v>
      </c>
      <c r="N176" s="26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</row>
    <row r="177" ht="15.75" customHeight="1">
      <c r="A177" s="26">
        <v>176.0</v>
      </c>
      <c r="B177" s="17">
        <v>45817.0</v>
      </c>
      <c r="C177" s="26" t="s">
        <v>1007</v>
      </c>
      <c r="D177" s="26"/>
      <c r="E177" s="26" t="s">
        <v>1008</v>
      </c>
      <c r="F177" s="26" t="s">
        <v>39</v>
      </c>
      <c r="G177" s="27">
        <v>11000.0</v>
      </c>
      <c r="H177" s="26"/>
      <c r="I177" s="26" t="s">
        <v>648</v>
      </c>
      <c r="J177" s="26"/>
      <c r="K177" s="26" t="s">
        <v>764</v>
      </c>
      <c r="L177" s="26" t="s">
        <v>47</v>
      </c>
      <c r="M177" s="26" t="s">
        <v>171</v>
      </c>
      <c r="N177" s="26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</row>
    <row r="178" ht="15.75" customHeight="1">
      <c r="A178" s="26">
        <v>177.0</v>
      </c>
      <c r="B178" s="17">
        <v>45817.0</v>
      </c>
      <c r="C178" s="26" t="s">
        <v>1009</v>
      </c>
      <c r="D178" s="26"/>
      <c r="E178" s="26" t="s">
        <v>1010</v>
      </c>
      <c r="F178" s="26" t="s">
        <v>39</v>
      </c>
      <c r="G178" s="27">
        <v>100.0</v>
      </c>
      <c r="H178" s="26"/>
      <c r="I178" s="26" t="s">
        <v>650</v>
      </c>
      <c r="J178" s="26"/>
      <c r="K178" s="26" t="s">
        <v>764</v>
      </c>
      <c r="L178" s="26" t="s">
        <v>47</v>
      </c>
      <c r="M178" s="26" t="s">
        <v>171</v>
      </c>
      <c r="N178" s="26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</row>
    <row r="179" ht="15.75" customHeight="1">
      <c r="A179" s="26">
        <v>178.0</v>
      </c>
      <c r="B179" s="17">
        <v>45817.0</v>
      </c>
      <c r="C179" s="26" t="s">
        <v>1011</v>
      </c>
      <c r="D179" s="26"/>
      <c r="E179" s="26" t="s">
        <v>1012</v>
      </c>
      <c r="F179" s="26" t="s">
        <v>39</v>
      </c>
      <c r="G179" s="27">
        <v>500.0</v>
      </c>
      <c r="H179" s="26"/>
      <c r="I179" s="26" t="s">
        <v>654</v>
      </c>
      <c r="J179" s="26"/>
      <c r="K179" s="26" t="s">
        <v>764</v>
      </c>
      <c r="L179" s="26" t="s">
        <v>47</v>
      </c>
      <c r="M179" s="26" t="s">
        <v>171</v>
      </c>
      <c r="N179" s="26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</row>
    <row r="180" ht="15.75" customHeight="1">
      <c r="A180" s="26">
        <v>179.0</v>
      </c>
      <c r="B180" s="17">
        <v>45817.0</v>
      </c>
      <c r="C180" s="26" t="s">
        <v>1013</v>
      </c>
      <c r="D180" s="26"/>
      <c r="E180" s="26" t="s">
        <v>1014</v>
      </c>
      <c r="F180" s="26" t="s">
        <v>39</v>
      </c>
      <c r="G180" s="27">
        <v>200.0</v>
      </c>
      <c r="H180" s="26"/>
      <c r="I180" s="26" t="s">
        <v>658</v>
      </c>
      <c r="J180" s="26"/>
      <c r="K180" s="26" t="s">
        <v>764</v>
      </c>
      <c r="L180" s="26" t="s">
        <v>47</v>
      </c>
      <c r="M180" s="26" t="s">
        <v>171</v>
      </c>
      <c r="N180" s="26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</row>
    <row r="181" ht="15.75" customHeight="1">
      <c r="A181" s="26">
        <v>180.0</v>
      </c>
      <c r="B181" s="17">
        <v>45817.0</v>
      </c>
      <c r="C181" s="26" t="s">
        <v>1015</v>
      </c>
      <c r="D181" s="26"/>
      <c r="E181" s="26" t="s">
        <v>1016</v>
      </c>
      <c r="F181" s="26" t="s">
        <v>39</v>
      </c>
      <c r="G181" s="27">
        <v>500.0</v>
      </c>
      <c r="H181" s="26"/>
      <c r="I181" s="26" t="s">
        <v>660</v>
      </c>
      <c r="J181" s="26"/>
      <c r="K181" s="26" t="s">
        <v>764</v>
      </c>
      <c r="L181" s="26" t="s">
        <v>47</v>
      </c>
      <c r="M181" s="26" t="s">
        <v>171</v>
      </c>
      <c r="N181" s="26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</row>
    <row r="182" ht="15.75" customHeight="1">
      <c r="A182" s="26">
        <v>181.0</v>
      </c>
      <c r="B182" s="17">
        <v>45817.0</v>
      </c>
      <c r="C182" s="26" t="s">
        <v>1017</v>
      </c>
      <c r="D182" s="26"/>
      <c r="E182" s="26" t="s">
        <v>1018</v>
      </c>
      <c r="F182" s="26" t="s">
        <v>39</v>
      </c>
      <c r="G182" s="27">
        <v>1100.0</v>
      </c>
      <c r="H182" s="26"/>
      <c r="I182" s="26" t="s">
        <v>663</v>
      </c>
      <c r="J182" s="26"/>
      <c r="K182" s="26" t="s">
        <v>764</v>
      </c>
      <c r="L182" s="26" t="s">
        <v>47</v>
      </c>
      <c r="M182" s="26" t="s">
        <v>171</v>
      </c>
      <c r="N182" s="26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</row>
    <row r="183" ht="15.75" customHeight="1">
      <c r="A183" s="26">
        <v>182.0</v>
      </c>
      <c r="B183" s="17">
        <v>45817.0</v>
      </c>
      <c r="C183" s="26" t="s">
        <v>1019</v>
      </c>
      <c r="D183" s="26"/>
      <c r="E183" s="26" t="s">
        <v>1020</v>
      </c>
      <c r="F183" s="26" t="s">
        <v>39</v>
      </c>
      <c r="G183" s="27">
        <v>1100.0</v>
      </c>
      <c r="H183" s="26"/>
      <c r="I183" s="26" t="s">
        <v>666</v>
      </c>
      <c r="J183" s="26"/>
      <c r="K183" s="26" t="s">
        <v>764</v>
      </c>
      <c r="L183" s="26" t="s">
        <v>47</v>
      </c>
      <c r="M183" s="26" t="s">
        <v>171</v>
      </c>
      <c r="N183" s="26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</row>
    <row r="184" ht="15.75" customHeight="1">
      <c r="A184" s="26">
        <v>183.0</v>
      </c>
      <c r="B184" s="17">
        <v>45817.0</v>
      </c>
      <c r="C184" s="26" t="s">
        <v>1021</v>
      </c>
      <c r="D184" s="26"/>
      <c r="E184" s="26" t="s">
        <v>1022</v>
      </c>
      <c r="F184" s="26" t="s">
        <v>39</v>
      </c>
      <c r="G184" s="27">
        <v>2100.0</v>
      </c>
      <c r="H184" s="26"/>
      <c r="I184" s="26" t="s">
        <v>669</v>
      </c>
      <c r="J184" s="26"/>
      <c r="K184" s="26" t="s">
        <v>764</v>
      </c>
      <c r="L184" s="26" t="s">
        <v>47</v>
      </c>
      <c r="M184" s="26" t="s">
        <v>171</v>
      </c>
      <c r="N184" s="26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</row>
    <row r="185" ht="15.75" customHeight="1">
      <c r="A185" s="26">
        <v>184.0</v>
      </c>
      <c r="B185" s="17">
        <v>45817.0</v>
      </c>
      <c r="C185" s="26" t="s">
        <v>145</v>
      </c>
      <c r="D185" s="26"/>
      <c r="E185" s="26" t="s">
        <v>1023</v>
      </c>
      <c r="F185" s="26" t="s">
        <v>39</v>
      </c>
      <c r="G185" s="27">
        <v>5100.0</v>
      </c>
      <c r="H185" s="26"/>
      <c r="I185" s="26" t="s">
        <v>1024</v>
      </c>
      <c r="J185" s="26"/>
      <c r="K185" s="26" t="s">
        <v>764</v>
      </c>
      <c r="L185" s="26" t="s">
        <v>47</v>
      </c>
      <c r="M185" s="26" t="s">
        <v>171</v>
      </c>
      <c r="N185" s="26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</row>
    <row r="186" ht="15.75" customHeight="1">
      <c r="A186" s="26">
        <v>185.0</v>
      </c>
      <c r="B186" s="17">
        <v>45817.0</v>
      </c>
      <c r="C186" s="26" t="s">
        <v>1025</v>
      </c>
      <c r="D186" s="26"/>
      <c r="E186" s="26" t="s">
        <v>1026</v>
      </c>
      <c r="F186" s="26" t="s">
        <v>39</v>
      </c>
      <c r="G186" s="27">
        <v>2100.0</v>
      </c>
      <c r="H186" s="26"/>
      <c r="I186" s="26" t="s">
        <v>1027</v>
      </c>
      <c r="J186" s="26"/>
      <c r="K186" s="26" t="s">
        <v>764</v>
      </c>
      <c r="L186" s="26" t="s">
        <v>47</v>
      </c>
      <c r="M186" s="26" t="s">
        <v>171</v>
      </c>
      <c r="N186" s="26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</row>
    <row r="187" ht="15.75" customHeight="1">
      <c r="A187" s="26">
        <v>186.0</v>
      </c>
      <c r="B187" s="17">
        <v>45818.0</v>
      </c>
      <c r="C187" s="26" t="s">
        <v>1028</v>
      </c>
      <c r="D187" s="26"/>
      <c r="E187" s="26" t="s">
        <v>1029</v>
      </c>
      <c r="F187" s="26" t="s">
        <v>39</v>
      </c>
      <c r="G187" s="27">
        <v>200.0</v>
      </c>
      <c r="H187" s="26"/>
      <c r="I187" s="26" t="s">
        <v>1030</v>
      </c>
      <c r="J187" s="26"/>
      <c r="K187" s="26" t="s">
        <v>764</v>
      </c>
      <c r="L187" s="26" t="s">
        <v>47</v>
      </c>
      <c r="M187" s="26" t="s">
        <v>171</v>
      </c>
      <c r="N187" s="26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</row>
    <row r="188" ht="15.75" customHeight="1">
      <c r="A188" s="26">
        <v>187.0</v>
      </c>
      <c r="B188" s="17">
        <v>45818.0</v>
      </c>
      <c r="C188" s="26" t="s">
        <v>1031</v>
      </c>
      <c r="D188" s="26"/>
      <c r="E188" s="26" t="s">
        <v>1032</v>
      </c>
      <c r="F188" s="26" t="s">
        <v>39</v>
      </c>
      <c r="G188" s="27">
        <v>1100.0</v>
      </c>
      <c r="H188" s="26"/>
      <c r="I188" s="26" t="s">
        <v>1033</v>
      </c>
      <c r="J188" s="26"/>
      <c r="K188" s="26" t="s">
        <v>764</v>
      </c>
      <c r="L188" s="26" t="s">
        <v>47</v>
      </c>
      <c r="M188" s="26" t="s">
        <v>171</v>
      </c>
      <c r="N188" s="26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</row>
    <row r="189" ht="15.75" customHeight="1">
      <c r="A189" s="26">
        <v>188.0</v>
      </c>
      <c r="B189" s="17">
        <v>45818.0</v>
      </c>
      <c r="C189" s="26" t="s">
        <v>714</v>
      </c>
      <c r="D189" s="26"/>
      <c r="E189" s="26" t="s">
        <v>1034</v>
      </c>
      <c r="F189" s="26" t="s">
        <v>39</v>
      </c>
      <c r="G189" s="27">
        <v>11000.0</v>
      </c>
      <c r="H189" s="26"/>
      <c r="I189" s="26" t="s">
        <v>1035</v>
      </c>
      <c r="J189" s="26"/>
      <c r="K189" s="26" t="s">
        <v>764</v>
      </c>
      <c r="L189" s="26" t="s">
        <v>47</v>
      </c>
      <c r="M189" s="26" t="s">
        <v>171</v>
      </c>
      <c r="N189" s="26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</row>
    <row r="190" ht="15.75" customHeight="1">
      <c r="A190" s="26">
        <v>189.0</v>
      </c>
      <c r="B190" s="17">
        <v>45818.0</v>
      </c>
      <c r="C190" s="26" t="s">
        <v>1036</v>
      </c>
      <c r="D190" s="26"/>
      <c r="E190" s="26" t="s">
        <v>1037</v>
      </c>
      <c r="F190" s="26" t="s">
        <v>39</v>
      </c>
      <c r="G190" s="27">
        <v>1100.0</v>
      </c>
      <c r="H190" s="26"/>
      <c r="I190" s="26" t="s">
        <v>1038</v>
      </c>
      <c r="J190" s="26"/>
      <c r="K190" s="26" t="s">
        <v>764</v>
      </c>
      <c r="L190" s="26" t="s">
        <v>47</v>
      </c>
      <c r="M190" s="26" t="s">
        <v>171</v>
      </c>
      <c r="N190" s="26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</row>
    <row r="191" ht="15.75" customHeight="1">
      <c r="A191" s="26">
        <v>190.0</v>
      </c>
      <c r="B191" s="17">
        <v>45818.0</v>
      </c>
      <c r="C191" s="26" t="s">
        <v>1039</v>
      </c>
      <c r="D191" s="26"/>
      <c r="E191" s="26" t="s">
        <v>1040</v>
      </c>
      <c r="F191" s="26" t="s">
        <v>39</v>
      </c>
      <c r="G191" s="27">
        <v>500.0</v>
      </c>
      <c r="H191" s="26"/>
      <c r="I191" s="26" t="s">
        <v>1041</v>
      </c>
      <c r="J191" s="26"/>
      <c r="K191" s="26" t="s">
        <v>764</v>
      </c>
      <c r="L191" s="26" t="s">
        <v>47</v>
      </c>
      <c r="M191" s="26" t="s">
        <v>171</v>
      </c>
      <c r="N191" s="26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</row>
    <row r="192" ht="15.75" customHeight="1">
      <c r="A192" s="26">
        <v>191.0</v>
      </c>
      <c r="B192" s="17">
        <v>45818.0</v>
      </c>
      <c r="C192" s="26" t="s">
        <v>1042</v>
      </c>
      <c r="D192" s="26"/>
      <c r="E192" s="26" t="s">
        <v>1043</v>
      </c>
      <c r="F192" s="26" t="s">
        <v>39</v>
      </c>
      <c r="G192" s="27">
        <v>500.0</v>
      </c>
      <c r="H192" s="26"/>
      <c r="I192" s="26" t="s">
        <v>1044</v>
      </c>
      <c r="J192" s="26"/>
      <c r="K192" s="26" t="s">
        <v>764</v>
      </c>
      <c r="L192" s="26" t="s">
        <v>47</v>
      </c>
      <c r="M192" s="26" t="s">
        <v>171</v>
      </c>
      <c r="N192" s="26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</row>
    <row r="193" ht="15.75" customHeight="1">
      <c r="A193" s="26">
        <v>192.0</v>
      </c>
      <c r="B193" s="17">
        <v>45818.0</v>
      </c>
      <c r="C193" s="26" t="s">
        <v>1045</v>
      </c>
      <c r="D193" s="26"/>
      <c r="E193" s="26" t="s">
        <v>1046</v>
      </c>
      <c r="F193" s="26" t="s">
        <v>39</v>
      </c>
      <c r="G193" s="27">
        <v>500.0</v>
      </c>
      <c r="H193" s="26"/>
      <c r="I193" s="26" t="s">
        <v>1047</v>
      </c>
      <c r="J193" s="26"/>
      <c r="K193" s="26" t="s">
        <v>764</v>
      </c>
      <c r="L193" s="26" t="s">
        <v>47</v>
      </c>
      <c r="M193" s="26" t="s">
        <v>171</v>
      </c>
      <c r="N193" s="26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</row>
    <row r="194" ht="15.75" customHeight="1">
      <c r="A194" s="26">
        <v>193.0</v>
      </c>
      <c r="B194" s="17">
        <v>45818.0</v>
      </c>
      <c r="C194" s="26" t="s">
        <v>1048</v>
      </c>
      <c r="D194" s="26"/>
      <c r="E194" s="26" t="s">
        <v>1049</v>
      </c>
      <c r="F194" s="26" t="s">
        <v>39</v>
      </c>
      <c r="G194" s="27">
        <v>11000.0</v>
      </c>
      <c r="H194" s="26"/>
      <c r="I194" s="26" t="s">
        <v>1050</v>
      </c>
      <c r="J194" s="26"/>
      <c r="K194" s="26" t="s">
        <v>764</v>
      </c>
      <c r="L194" s="26" t="s">
        <v>47</v>
      </c>
      <c r="M194" s="26" t="s">
        <v>171</v>
      </c>
      <c r="N194" s="26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</row>
    <row r="195" ht="15.75" customHeight="1">
      <c r="A195" s="26">
        <v>194.0</v>
      </c>
      <c r="B195" s="17">
        <v>45819.0</v>
      </c>
      <c r="C195" s="26" t="s">
        <v>1051</v>
      </c>
      <c r="D195" s="26"/>
      <c r="E195" s="26" t="s">
        <v>1052</v>
      </c>
      <c r="F195" s="26" t="s">
        <v>39</v>
      </c>
      <c r="G195" s="27">
        <v>2100.0</v>
      </c>
      <c r="H195" s="26"/>
      <c r="I195" s="26" t="s">
        <v>1053</v>
      </c>
      <c r="J195" s="26"/>
      <c r="K195" s="26" t="s">
        <v>764</v>
      </c>
      <c r="L195" s="26" t="s">
        <v>47</v>
      </c>
      <c r="M195" s="26" t="s">
        <v>171</v>
      </c>
      <c r="N195" s="26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</row>
    <row r="196" ht="15.75" customHeight="1">
      <c r="A196" s="26">
        <v>195.0</v>
      </c>
      <c r="B196" s="17">
        <v>45819.0</v>
      </c>
      <c r="C196" s="26" t="s">
        <v>1054</v>
      </c>
      <c r="D196" s="26"/>
      <c r="E196" s="26" t="s">
        <v>1055</v>
      </c>
      <c r="F196" s="26" t="s">
        <v>39</v>
      </c>
      <c r="G196" s="27">
        <v>1000.0</v>
      </c>
      <c r="H196" s="26"/>
      <c r="I196" s="26" t="s">
        <v>1056</v>
      </c>
      <c r="J196" s="26"/>
      <c r="K196" s="26" t="s">
        <v>764</v>
      </c>
      <c r="L196" s="26" t="s">
        <v>47</v>
      </c>
      <c r="M196" s="26" t="s">
        <v>171</v>
      </c>
      <c r="N196" s="26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</row>
    <row r="197" ht="15.75" customHeight="1">
      <c r="A197" s="26">
        <v>196.0</v>
      </c>
      <c r="B197" s="17">
        <v>45819.0</v>
      </c>
      <c r="C197" s="26" t="s">
        <v>1057</v>
      </c>
      <c r="D197" s="26"/>
      <c r="E197" s="26" t="s">
        <v>821</v>
      </c>
      <c r="F197" s="26" t="s">
        <v>39</v>
      </c>
      <c r="G197" s="27">
        <v>1000.0</v>
      </c>
      <c r="H197" s="26"/>
      <c r="I197" s="26" t="s">
        <v>1058</v>
      </c>
      <c r="J197" s="26"/>
      <c r="K197" s="26" t="s">
        <v>764</v>
      </c>
      <c r="L197" s="26" t="s">
        <v>47</v>
      </c>
      <c r="M197" s="26" t="s">
        <v>171</v>
      </c>
      <c r="N197" s="26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</row>
    <row r="198" ht="15.75" customHeight="1">
      <c r="A198" s="26">
        <v>197.0</v>
      </c>
      <c r="B198" s="17">
        <v>45819.0</v>
      </c>
      <c r="C198" s="26" t="s">
        <v>1059</v>
      </c>
      <c r="D198" s="26"/>
      <c r="E198" s="26" t="s">
        <v>1060</v>
      </c>
      <c r="F198" s="26" t="s">
        <v>39</v>
      </c>
      <c r="G198" s="27">
        <v>1100.0</v>
      </c>
      <c r="H198" s="26"/>
      <c r="I198" s="26" t="s">
        <v>1061</v>
      </c>
      <c r="J198" s="26"/>
      <c r="K198" s="26" t="s">
        <v>764</v>
      </c>
      <c r="L198" s="26" t="s">
        <v>47</v>
      </c>
      <c r="M198" s="26" t="s">
        <v>171</v>
      </c>
      <c r="N198" s="26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</row>
    <row r="199" ht="15.75" customHeight="1">
      <c r="A199" s="26">
        <v>198.0</v>
      </c>
      <c r="B199" s="17">
        <v>45819.0</v>
      </c>
      <c r="C199" s="26" t="s">
        <v>1062</v>
      </c>
      <c r="D199" s="26"/>
      <c r="E199" s="26" t="s">
        <v>1063</v>
      </c>
      <c r="F199" s="26" t="s">
        <v>117</v>
      </c>
      <c r="G199" s="27">
        <v>11000.0</v>
      </c>
      <c r="H199" s="26"/>
      <c r="I199" s="26" t="s">
        <v>1064</v>
      </c>
      <c r="J199" s="26"/>
      <c r="K199" s="26" t="s">
        <v>764</v>
      </c>
      <c r="L199" s="26" t="s">
        <v>47</v>
      </c>
      <c r="M199" s="26" t="s">
        <v>171</v>
      </c>
      <c r="N199" s="26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</row>
    <row r="200" ht="15.75" customHeight="1">
      <c r="A200" s="26">
        <v>199.0</v>
      </c>
      <c r="B200" s="17">
        <v>45823.0</v>
      </c>
      <c r="C200" s="26" t="s">
        <v>1065</v>
      </c>
      <c r="D200" s="26" t="s">
        <v>1066</v>
      </c>
      <c r="E200" s="26" t="s">
        <v>1067</v>
      </c>
      <c r="F200" s="26" t="s">
        <v>39</v>
      </c>
      <c r="G200" s="27">
        <v>11000.0</v>
      </c>
      <c r="H200" s="26"/>
      <c r="I200" s="28">
        <v>45664.0</v>
      </c>
      <c r="J200" s="26"/>
      <c r="K200" s="26" t="s">
        <v>45</v>
      </c>
      <c r="L200" s="26" t="s">
        <v>47</v>
      </c>
      <c r="M200" s="26" t="s">
        <v>121</v>
      </c>
      <c r="N200" s="26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</row>
    <row r="201" ht="15.75" customHeight="1">
      <c r="A201" s="26">
        <v>200.0</v>
      </c>
      <c r="B201" s="17">
        <v>45823.0</v>
      </c>
      <c r="C201" s="26" t="s">
        <v>1068</v>
      </c>
      <c r="D201" s="26" t="s">
        <v>1069</v>
      </c>
      <c r="E201" s="26" t="s">
        <v>1070</v>
      </c>
      <c r="F201" s="26" t="s">
        <v>39</v>
      </c>
      <c r="G201" s="27">
        <v>21000.0</v>
      </c>
      <c r="H201" s="26"/>
      <c r="I201" s="28">
        <v>45695.0</v>
      </c>
      <c r="J201" s="26"/>
      <c r="K201" s="26" t="s">
        <v>45</v>
      </c>
      <c r="L201" s="26" t="s">
        <v>47</v>
      </c>
      <c r="M201" s="26" t="s">
        <v>121</v>
      </c>
      <c r="N201" s="26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</row>
    <row r="202" ht="15.75" customHeight="1">
      <c r="A202" s="26">
        <v>201.0</v>
      </c>
      <c r="B202" s="17">
        <v>45823.0</v>
      </c>
      <c r="C202" s="26" t="s">
        <v>1071</v>
      </c>
      <c r="D202" s="26"/>
      <c r="E202" s="26" t="s">
        <v>1070</v>
      </c>
      <c r="F202" s="26" t="s">
        <v>39</v>
      </c>
      <c r="G202" s="27">
        <v>2100.0</v>
      </c>
      <c r="H202" s="26"/>
      <c r="I202" s="28">
        <v>45723.0</v>
      </c>
      <c r="J202" s="26"/>
      <c r="K202" s="26" t="s">
        <v>45</v>
      </c>
      <c r="L202" s="26" t="s">
        <v>47</v>
      </c>
      <c r="M202" s="26" t="s">
        <v>121</v>
      </c>
      <c r="N202" s="26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</row>
    <row r="203" ht="15.75" customHeight="1">
      <c r="A203" s="26">
        <v>202.0</v>
      </c>
      <c r="B203" s="17">
        <v>45823.0</v>
      </c>
      <c r="C203" s="26" t="s">
        <v>1072</v>
      </c>
      <c r="D203" s="26"/>
      <c r="E203" s="26" t="s">
        <v>1073</v>
      </c>
      <c r="F203" s="26" t="s">
        <v>39</v>
      </c>
      <c r="G203" s="27">
        <v>5100.0</v>
      </c>
      <c r="H203" s="26"/>
      <c r="I203" s="28">
        <v>45754.0</v>
      </c>
      <c r="J203" s="26"/>
      <c r="K203" s="26" t="s">
        <v>45</v>
      </c>
      <c r="L203" s="26" t="s">
        <v>47</v>
      </c>
      <c r="M203" s="26" t="s">
        <v>121</v>
      </c>
      <c r="N203" s="26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</row>
    <row r="204" ht="15.75" customHeight="1">
      <c r="A204" s="26">
        <v>203.0</v>
      </c>
      <c r="B204" s="17">
        <v>45823.0</v>
      </c>
      <c r="C204" s="26" t="s">
        <v>1074</v>
      </c>
      <c r="D204" s="26"/>
      <c r="E204" s="26"/>
      <c r="F204" s="26" t="s">
        <v>39</v>
      </c>
      <c r="G204" s="27">
        <v>1000.0</v>
      </c>
      <c r="H204" s="26"/>
      <c r="I204" s="28">
        <v>45784.0</v>
      </c>
      <c r="J204" s="26"/>
      <c r="K204" s="26" t="s">
        <v>45</v>
      </c>
      <c r="L204" s="26" t="s">
        <v>47</v>
      </c>
      <c r="M204" s="26" t="s">
        <v>121</v>
      </c>
      <c r="N204" s="26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</row>
    <row r="205" ht="15.75" customHeight="1">
      <c r="A205" s="26">
        <v>204.0</v>
      </c>
      <c r="B205" s="17">
        <v>45823.0</v>
      </c>
      <c r="C205" s="26" t="s">
        <v>1075</v>
      </c>
      <c r="D205" s="26"/>
      <c r="E205" s="26" t="s">
        <v>1076</v>
      </c>
      <c r="F205" s="26" t="s">
        <v>39</v>
      </c>
      <c r="G205" s="27">
        <v>1100.0</v>
      </c>
      <c r="H205" s="26"/>
      <c r="I205" s="28">
        <v>45815.0</v>
      </c>
      <c r="J205" s="26"/>
      <c r="K205" s="26" t="s">
        <v>45</v>
      </c>
      <c r="L205" s="26" t="s">
        <v>47</v>
      </c>
      <c r="M205" s="26" t="s">
        <v>121</v>
      </c>
      <c r="N205" s="26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</row>
    <row r="206" ht="15.75" customHeight="1">
      <c r="A206" s="26">
        <v>205.0</v>
      </c>
      <c r="B206" s="17">
        <v>45823.0</v>
      </c>
      <c r="C206" s="26" t="s">
        <v>1077</v>
      </c>
      <c r="D206" s="26">
        <v>9.87244413E9</v>
      </c>
      <c r="E206" s="26" t="s">
        <v>1078</v>
      </c>
      <c r="F206" s="26" t="s">
        <v>39</v>
      </c>
      <c r="G206" s="27">
        <v>5100.0</v>
      </c>
      <c r="H206" s="26"/>
      <c r="I206" s="28">
        <v>45845.0</v>
      </c>
      <c r="J206" s="26"/>
      <c r="K206" s="26" t="s">
        <v>45</v>
      </c>
      <c r="L206" s="26" t="s">
        <v>47</v>
      </c>
      <c r="M206" s="26" t="s">
        <v>121</v>
      </c>
      <c r="N206" s="26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</row>
    <row r="207" ht="15.75" customHeight="1">
      <c r="A207" s="26">
        <v>206.0</v>
      </c>
      <c r="B207" s="17">
        <v>45823.0</v>
      </c>
      <c r="C207" s="26" t="s">
        <v>1079</v>
      </c>
      <c r="D207" s="26">
        <v>9.988160093E9</v>
      </c>
      <c r="E207" s="26" t="s">
        <v>1080</v>
      </c>
      <c r="F207" s="26" t="s">
        <v>39</v>
      </c>
      <c r="G207" s="27">
        <v>1100.0</v>
      </c>
      <c r="H207" s="26"/>
      <c r="I207" s="28">
        <v>45876.0</v>
      </c>
      <c r="J207" s="26"/>
      <c r="K207" s="26" t="s">
        <v>45</v>
      </c>
      <c r="L207" s="26" t="s">
        <v>47</v>
      </c>
      <c r="M207" s="26" t="s">
        <v>121</v>
      </c>
      <c r="N207" s="26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</row>
    <row r="208" ht="15.75" customHeight="1">
      <c r="A208" s="26">
        <v>207.0</v>
      </c>
      <c r="B208" s="17">
        <v>45823.0</v>
      </c>
      <c r="C208" s="26" t="s">
        <v>1081</v>
      </c>
      <c r="D208" s="26"/>
      <c r="E208" s="26" t="s">
        <v>1082</v>
      </c>
      <c r="F208" s="26" t="s">
        <v>39</v>
      </c>
      <c r="G208" s="27">
        <v>1100.0</v>
      </c>
      <c r="H208" s="26"/>
      <c r="I208" s="28">
        <v>45907.0</v>
      </c>
      <c r="J208" s="26"/>
      <c r="K208" s="26" t="s">
        <v>45</v>
      </c>
      <c r="L208" s="26" t="s">
        <v>47</v>
      </c>
      <c r="M208" s="26" t="s">
        <v>121</v>
      </c>
      <c r="N208" s="26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</row>
    <row r="209" ht="15.75" customHeight="1">
      <c r="A209" s="26">
        <v>208.0</v>
      </c>
      <c r="B209" s="17">
        <v>45823.0</v>
      </c>
      <c r="C209" s="26" t="s">
        <v>145</v>
      </c>
      <c r="D209" s="26"/>
      <c r="E209" s="26"/>
      <c r="F209" s="26" t="s">
        <v>39</v>
      </c>
      <c r="G209" s="27">
        <v>1100.0</v>
      </c>
      <c r="H209" s="26"/>
      <c r="I209" s="28">
        <v>45937.0</v>
      </c>
      <c r="J209" s="26"/>
      <c r="K209" s="26" t="s">
        <v>45</v>
      </c>
      <c r="L209" s="26" t="s">
        <v>47</v>
      </c>
      <c r="M209" s="26" t="s">
        <v>121</v>
      </c>
      <c r="N209" s="26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</row>
    <row r="210" ht="15.75" customHeight="1">
      <c r="A210" s="26">
        <v>209.0</v>
      </c>
      <c r="B210" s="17">
        <v>45823.0</v>
      </c>
      <c r="C210" s="26" t="s">
        <v>145</v>
      </c>
      <c r="D210" s="26"/>
      <c r="E210" s="26" t="s">
        <v>1083</v>
      </c>
      <c r="F210" s="26" t="s">
        <v>39</v>
      </c>
      <c r="G210" s="27">
        <v>500.0</v>
      </c>
      <c r="H210" s="26"/>
      <c r="I210" s="28">
        <v>45968.0</v>
      </c>
      <c r="J210" s="26"/>
      <c r="K210" s="26" t="s">
        <v>45</v>
      </c>
      <c r="L210" s="26" t="s">
        <v>47</v>
      </c>
      <c r="M210" s="26" t="s">
        <v>121</v>
      </c>
      <c r="N210" s="26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</row>
    <row r="211" ht="15.75" customHeight="1">
      <c r="A211" s="26">
        <v>210.0</v>
      </c>
      <c r="B211" s="17">
        <v>45823.0</v>
      </c>
      <c r="C211" s="26" t="s">
        <v>145</v>
      </c>
      <c r="D211" s="26"/>
      <c r="E211" s="26"/>
      <c r="F211" s="26" t="s">
        <v>39</v>
      </c>
      <c r="G211" s="27">
        <v>1100.0</v>
      </c>
      <c r="H211" s="26"/>
      <c r="I211" s="28">
        <v>45998.0</v>
      </c>
      <c r="J211" s="26"/>
      <c r="K211" s="26" t="s">
        <v>45</v>
      </c>
      <c r="L211" s="26" t="s">
        <v>47</v>
      </c>
      <c r="M211" s="26" t="s">
        <v>121</v>
      </c>
      <c r="N211" s="26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</row>
    <row r="212" ht="15.75" customHeight="1">
      <c r="A212" s="26">
        <v>211.0</v>
      </c>
      <c r="B212" s="17">
        <v>45823.0</v>
      </c>
      <c r="C212" s="26" t="s">
        <v>1084</v>
      </c>
      <c r="D212" s="26"/>
      <c r="E212" s="26"/>
      <c r="F212" s="26" t="s">
        <v>39</v>
      </c>
      <c r="G212" s="27">
        <v>2100.0</v>
      </c>
      <c r="H212" s="26"/>
      <c r="I212" s="26" t="s">
        <v>1085</v>
      </c>
      <c r="J212" s="26"/>
      <c r="K212" s="26" t="s">
        <v>45</v>
      </c>
      <c r="L212" s="26" t="s">
        <v>47</v>
      </c>
      <c r="M212" s="26" t="s">
        <v>54</v>
      </c>
      <c r="N212" s="26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</row>
    <row r="213" ht="15.75" customHeight="1">
      <c r="A213" s="26">
        <v>212.0</v>
      </c>
      <c r="B213" s="17">
        <v>45823.0</v>
      </c>
      <c r="C213" s="26" t="s">
        <v>1086</v>
      </c>
      <c r="D213" s="26">
        <v>8.289029026E9</v>
      </c>
      <c r="E213" s="26" t="s">
        <v>200</v>
      </c>
      <c r="F213" s="26" t="s">
        <v>39</v>
      </c>
      <c r="G213" s="27">
        <v>3100.0</v>
      </c>
      <c r="H213" s="26"/>
      <c r="I213" s="26" t="s">
        <v>1087</v>
      </c>
      <c r="J213" s="26"/>
      <c r="K213" s="26" t="s">
        <v>45</v>
      </c>
      <c r="L213" s="26" t="s">
        <v>47</v>
      </c>
      <c r="M213" s="26" t="s">
        <v>121</v>
      </c>
      <c r="N213" s="26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</row>
    <row r="214" ht="15.75" customHeight="1">
      <c r="A214" s="26">
        <v>213.0</v>
      </c>
      <c r="B214" s="17">
        <v>45829.0</v>
      </c>
      <c r="C214" s="26" t="s">
        <v>1088</v>
      </c>
      <c r="D214" s="26">
        <v>9.41779048E9</v>
      </c>
      <c r="E214" s="26" t="s">
        <v>1023</v>
      </c>
      <c r="F214" s="26" t="s">
        <v>39</v>
      </c>
      <c r="G214" s="27">
        <v>5100.0</v>
      </c>
      <c r="H214" s="26"/>
      <c r="I214" s="26" t="s">
        <v>1089</v>
      </c>
      <c r="J214" s="26"/>
      <c r="K214" s="26" t="s">
        <v>310</v>
      </c>
      <c r="L214" s="26" t="s">
        <v>47</v>
      </c>
      <c r="M214" s="26" t="s">
        <v>313</v>
      </c>
      <c r="N214" s="26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</row>
    <row r="215" ht="15.75" customHeight="1">
      <c r="A215" s="26">
        <v>214.0</v>
      </c>
      <c r="B215" s="17">
        <v>45819.0</v>
      </c>
      <c r="C215" s="26" t="s">
        <v>1090</v>
      </c>
      <c r="D215" s="26">
        <v>9.646029165E9</v>
      </c>
      <c r="E215" s="26" t="s">
        <v>1091</v>
      </c>
      <c r="F215" s="26" t="s">
        <v>39</v>
      </c>
      <c r="G215" s="27">
        <v>2100.0</v>
      </c>
      <c r="H215" s="26"/>
      <c r="I215" s="28">
        <v>45662.0</v>
      </c>
      <c r="J215" s="26"/>
      <c r="K215" s="26" t="s">
        <v>310</v>
      </c>
      <c r="L215" s="26" t="s">
        <v>47</v>
      </c>
      <c r="M215" s="26" t="s">
        <v>313</v>
      </c>
      <c r="N215" s="26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</row>
    <row r="216" ht="15.75" customHeight="1">
      <c r="A216" s="26">
        <v>215.0</v>
      </c>
      <c r="B216" s="17">
        <v>45819.0</v>
      </c>
      <c r="C216" s="26" t="s">
        <v>718</v>
      </c>
      <c r="D216" s="26">
        <v>9.872585231E9</v>
      </c>
      <c r="E216" s="26" t="s">
        <v>1092</v>
      </c>
      <c r="F216" s="26" t="s">
        <v>39</v>
      </c>
      <c r="G216" s="27">
        <v>1100.0</v>
      </c>
      <c r="H216" s="26"/>
      <c r="I216" s="28">
        <v>45693.0</v>
      </c>
      <c r="J216" s="26"/>
      <c r="K216" s="26" t="s">
        <v>310</v>
      </c>
      <c r="L216" s="26" t="s">
        <v>47</v>
      </c>
      <c r="M216" s="26" t="s">
        <v>313</v>
      </c>
      <c r="N216" s="26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</row>
    <row r="217" ht="15.75" customHeight="1">
      <c r="A217" s="26">
        <v>216.0</v>
      </c>
      <c r="B217" s="17">
        <v>45820.0</v>
      </c>
      <c r="C217" s="26" t="s">
        <v>1093</v>
      </c>
      <c r="D217" s="26">
        <v>7.98639538E9</v>
      </c>
      <c r="E217" s="26" t="s">
        <v>1094</v>
      </c>
      <c r="F217" s="26" t="s">
        <v>39</v>
      </c>
      <c r="G217" s="27">
        <v>1100.0</v>
      </c>
      <c r="H217" s="26"/>
      <c r="I217" s="28">
        <v>45721.0</v>
      </c>
      <c r="J217" s="26"/>
      <c r="K217" s="26" t="s">
        <v>310</v>
      </c>
      <c r="L217" s="26" t="s">
        <v>47</v>
      </c>
      <c r="M217" s="26" t="s">
        <v>313</v>
      </c>
      <c r="N217" s="26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</row>
    <row r="218" ht="15.75" customHeight="1">
      <c r="A218" s="26">
        <v>217.0</v>
      </c>
      <c r="B218" s="17">
        <v>45820.0</v>
      </c>
      <c r="C218" s="26" t="s">
        <v>1095</v>
      </c>
      <c r="D218" s="26">
        <v>9.216113333E9</v>
      </c>
      <c r="E218" s="26"/>
      <c r="F218" s="26" t="s">
        <v>39</v>
      </c>
      <c r="G218" s="27">
        <v>21000.0</v>
      </c>
      <c r="H218" s="26"/>
      <c r="I218" s="28">
        <v>45752.0</v>
      </c>
      <c r="J218" s="26"/>
      <c r="K218" s="26" t="s">
        <v>310</v>
      </c>
      <c r="L218" s="26" t="s">
        <v>47</v>
      </c>
      <c r="M218" s="26" t="s">
        <v>313</v>
      </c>
      <c r="N218" s="26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</row>
    <row r="219" ht="15.75" customHeight="1">
      <c r="A219" s="26">
        <v>218.0</v>
      </c>
      <c r="B219" s="17">
        <v>45820.0</v>
      </c>
      <c r="C219" s="26" t="s">
        <v>1096</v>
      </c>
      <c r="D219" s="26">
        <v>9.877692432E9</v>
      </c>
      <c r="E219" s="26"/>
      <c r="F219" s="26" t="s">
        <v>39</v>
      </c>
      <c r="G219" s="27">
        <v>5100.0</v>
      </c>
      <c r="H219" s="26"/>
      <c r="I219" s="28">
        <v>45782.0</v>
      </c>
      <c r="J219" s="26"/>
      <c r="K219" s="26" t="s">
        <v>310</v>
      </c>
      <c r="L219" s="26" t="s">
        <v>47</v>
      </c>
      <c r="M219" s="26" t="s">
        <v>313</v>
      </c>
      <c r="N219" s="26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</row>
    <row r="220" ht="15.75" customHeight="1">
      <c r="A220" s="26">
        <v>219.0</v>
      </c>
      <c r="B220" s="17">
        <v>45821.0</v>
      </c>
      <c r="C220" s="26" t="s">
        <v>701</v>
      </c>
      <c r="D220" s="26">
        <v>9.357775551E9</v>
      </c>
      <c r="E220" s="26" t="s">
        <v>1097</v>
      </c>
      <c r="F220" s="26" t="s">
        <v>39</v>
      </c>
      <c r="G220" s="27">
        <v>11000.0</v>
      </c>
      <c r="H220" s="26"/>
      <c r="I220" s="28">
        <v>45813.0</v>
      </c>
      <c r="J220" s="26"/>
      <c r="K220" s="26" t="s">
        <v>310</v>
      </c>
      <c r="L220" s="26" t="s">
        <v>47</v>
      </c>
      <c r="M220" s="26" t="s">
        <v>313</v>
      </c>
      <c r="N220" s="26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</row>
    <row r="221" ht="15.75" customHeight="1">
      <c r="A221" s="26">
        <v>220.0</v>
      </c>
      <c r="B221" s="17">
        <v>45822.0</v>
      </c>
      <c r="C221" s="26" t="s">
        <v>145</v>
      </c>
      <c r="D221" s="26"/>
      <c r="E221" s="26"/>
      <c r="F221" s="26" t="s">
        <v>39</v>
      </c>
      <c r="G221" s="27">
        <v>3100.0</v>
      </c>
      <c r="H221" s="26"/>
      <c r="I221" s="28">
        <v>45843.0</v>
      </c>
      <c r="J221" s="26"/>
      <c r="K221" s="26" t="s">
        <v>310</v>
      </c>
      <c r="L221" s="26" t="s">
        <v>47</v>
      </c>
      <c r="M221" s="26" t="s">
        <v>313</v>
      </c>
      <c r="N221" s="26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</row>
    <row r="222" ht="15.75" customHeight="1">
      <c r="A222" s="26">
        <v>221.0</v>
      </c>
      <c r="B222" s="17">
        <v>45822.0</v>
      </c>
      <c r="C222" s="26" t="s">
        <v>145</v>
      </c>
      <c r="D222" s="26"/>
      <c r="E222" s="26"/>
      <c r="F222" s="26" t="s">
        <v>39</v>
      </c>
      <c r="G222" s="27">
        <v>2100.0</v>
      </c>
      <c r="H222" s="26"/>
      <c r="I222" s="28">
        <v>45874.0</v>
      </c>
      <c r="J222" s="26"/>
      <c r="K222" s="26" t="s">
        <v>310</v>
      </c>
      <c r="L222" s="26" t="s">
        <v>47</v>
      </c>
      <c r="M222" s="26" t="s">
        <v>313</v>
      </c>
      <c r="N222" s="26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</row>
    <row r="223" ht="15.75" customHeight="1">
      <c r="A223" s="26">
        <v>222.0</v>
      </c>
      <c r="B223" s="17">
        <v>45824.0</v>
      </c>
      <c r="C223" s="26" t="s">
        <v>1098</v>
      </c>
      <c r="D223" s="26"/>
      <c r="E223" s="26"/>
      <c r="F223" s="26" t="s">
        <v>39</v>
      </c>
      <c r="G223" s="27">
        <v>2100.0</v>
      </c>
      <c r="H223" s="26"/>
      <c r="I223" s="28">
        <v>45905.0</v>
      </c>
      <c r="J223" s="26"/>
      <c r="K223" s="26" t="s">
        <v>310</v>
      </c>
      <c r="L223" s="26" t="s">
        <v>47</v>
      </c>
      <c r="M223" s="26" t="s">
        <v>313</v>
      </c>
      <c r="N223" s="26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</row>
    <row r="224" ht="15.75" customHeight="1">
      <c r="A224" s="26">
        <v>223.0</v>
      </c>
      <c r="B224" s="17">
        <v>45824.0</v>
      </c>
      <c r="C224" s="26" t="s">
        <v>1099</v>
      </c>
      <c r="D224" s="26"/>
      <c r="E224" s="26" t="s">
        <v>1100</v>
      </c>
      <c r="F224" s="26" t="s">
        <v>39</v>
      </c>
      <c r="G224" s="27">
        <v>1100.0</v>
      </c>
      <c r="H224" s="26"/>
      <c r="I224" s="28">
        <v>45935.0</v>
      </c>
      <c r="J224" s="26"/>
      <c r="K224" s="26" t="s">
        <v>310</v>
      </c>
      <c r="L224" s="26" t="s">
        <v>47</v>
      </c>
      <c r="M224" s="26" t="s">
        <v>313</v>
      </c>
      <c r="N224" s="26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</row>
    <row r="225" ht="15.75" customHeight="1">
      <c r="A225" s="26">
        <v>224.0</v>
      </c>
      <c r="B225" s="17">
        <v>45826.0</v>
      </c>
      <c r="C225" s="26" t="s">
        <v>1101</v>
      </c>
      <c r="D225" s="26">
        <v>9.31666688E8</v>
      </c>
      <c r="E225" s="26" t="s">
        <v>1102</v>
      </c>
      <c r="F225" s="26" t="s">
        <v>39</v>
      </c>
      <c r="G225" s="27">
        <v>11000.0</v>
      </c>
      <c r="H225" s="26"/>
      <c r="I225" s="28">
        <v>45966.0</v>
      </c>
      <c r="J225" s="26"/>
      <c r="K225" s="26" t="s">
        <v>310</v>
      </c>
      <c r="L225" s="26" t="s">
        <v>47</v>
      </c>
      <c r="M225" s="26" t="s">
        <v>313</v>
      </c>
      <c r="N225" s="26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</row>
    <row r="226" ht="15.75" customHeight="1">
      <c r="A226" s="26">
        <v>225.0</v>
      </c>
      <c r="B226" s="17">
        <v>45826.0</v>
      </c>
      <c r="C226" s="26" t="s">
        <v>1103</v>
      </c>
      <c r="D226" s="26"/>
      <c r="E226" s="26" t="s">
        <v>1104</v>
      </c>
      <c r="F226" s="26" t="s">
        <v>39</v>
      </c>
      <c r="G226" s="27">
        <v>1100.0</v>
      </c>
      <c r="H226" s="26"/>
      <c r="I226" s="28">
        <v>45996.0</v>
      </c>
      <c r="J226" s="26"/>
      <c r="K226" s="26" t="s">
        <v>310</v>
      </c>
      <c r="L226" s="26" t="s">
        <v>47</v>
      </c>
      <c r="M226" s="26" t="s">
        <v>313</v>
      </c>
      <c r="N226" s="26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</row>
    <row r="227" ht="15.75" customHeight="1">
      <c r="A227" s="26">
        <v>226.0</v>
      </c>
      <c r="B227" s="17">
        <v>45825.0</v>
      </c>
      <c r="C227" s="26" t="s">
        <v>1105</v>
      </c>
      <c r="D227" s="26"/>
      <c r="E227" s="26" t="s">
        <v>1106</v>
      </c>
      <c r="F227" s="26" t="s">
        <v>39</v>
      </c>
      <c r="G227" s="27">
        <v>5100.0</v>
      </c>
      <c r="H227" s="26"/>
      <c r="I227" s="26" t="s">
        <v>1107</v>
      </c>
      <c r="J227" s="26"/>
      <c r="K227" s="26" t="s">
        <v>764</v>
      </c>
      <c r="L227" s="26" t="s">
        <v>47</v>
      </c>
      <c r="M227" s="26" t="s">
        <v>171</v>
      </c>
      <c r="N227" s="26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</row>
    <row r="228" ht="15.75" customHeight="1">
      <c r="A228" s="26">
        <v>227.0</v>
      </c>
      <c r="B228" s="17">
        <v>45825.0</v>
      </c>
      <c r="C228" s="26" t="s">
        <v>1108</v>
      </c>
      <c r="D228" s="26"/>
      <c r="E228" s="26" t="s">
        <v>200</v>
      </c>
      <c r="F228" s="26" t="s">
        <v>39</v>
      </c>
      <c r="G228" s="27">
        <v>2100.0</v>
      </c>
      <c r="H228" s="26"/>
      <c r="I228" s="26" t="s">
        <v>1109</v>
      </c>
      <c r="J228" s="26"/>
      <c r="K228" s="26" t="s">
        <v>764</v>
      </c>
      <c r="L228" s="26" t="s">
        <v>47</v>
      </c>
      <c r="M228" s="26" t="s">
        <v>171</v>
      </c>
      <c r="N228" s="26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</row>
    <row r="229" ht="15.75" customHeight="1">
      <c r="A229" s="26">
        <v>228.0</v>
      </c>
      <c r="B229" s="17">
        <v>45825.0</v>
      </c>
      <c r="C229" s="26" t="s">
        <v>1110</v>
      </c>
      <c r="D229" s="26"/>
      <c r="E229" s="26" t="s">
        <v>200</v>
      </c>
      <c r="F229" s="26" t="s">
        <v>39</v>
      </c>
      <c r="G229" s="27">
        <v>1100.0</v>
      </c>
      <c r="H229" s="26"/>
      <c r="I229" s="26" t="s">
        <v>1111</v>
      </c>
      <c r="J229" s="26"/>
      <c r="K229" s="26" t="s">
        <v>764</v>
      </c>
      <c r="L229" s="26" t="s">
        <v>47</v>
      </c>
      <c r="M229" s="26" t="s">
        <v>171</v>
      </c>
      <c r="N229" s="26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</row>
    <row r="230" ht="15.75" customHeight="1">
      <c r="A230" s="26">
        <v>229.0</v>
      </c>
      <c r="B230" s="17">
        <v>45825.0</v>
      </c>
      <c r="C230" s="26" t="s">
        <v>1112</v>
      </c>
      <c r="D230" s="26"/>
      <c r="E230" s="26" t="s">
        <v>200</v>
      </c>
      <c r="F230" s="26" t="s">
        <v>39</v>
      </c>
      <c r="G230" s="27">
        <v>1100.0</v>
      </c>
      <c r="H230" s="26"/>
      <c r="I230" s="26" t="s">
        <v>1113</v>
      </c>
      <c r="J230" s="26"/>
      <c r="K230" s="26" t="s">
        <v>764</v>
      </c>
      <c r="L230" s="26" t="s">
        <v>47</v>
      </c>
      <c r="M230" s="26" t="s">
        <v>171</v>
      </c>
      <c r="N230" s="26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</row>
    <row r="231" ht="15.75" customHeight="1">
      <c r="A231" s="26">
        <v>230.0</v>
      </c>
      <c r="B231" s="17">
        <v>45825.0</v>
      </c>
      <c r="C231" s="26" t="s">
        <v>1114</v>
      </c>
      <c r="D231" s="26"/>
      <c r="E231" s="26" t="s">
        <v>200</v>
      </c>
      <c r="F231" s="26" t="s">
        <v>39</v>
      </c>
      <c r="G231" s="27">
        <v>11000.0</v>
      </c>
      <c r="H231" s="26"/>
      <c r="I231" s="26" t="s">
        <v>1115</v>
      </c>
      <c r="J231" s="26"/>
      <c r="K231" s="26" t="s">
        <v>764</v>
      </c>
      <c r="L231" s="26" t="s">
        <v>47</v>
      </c>
      <c r="M231" s="26" t="s">
        <v>171</v>
      </c>
      <c r="N231" s="26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</row>
    <row r="232" ht="15.75" customHeight="1">
      <c r="A232" s="26">
        <v>231.0</v>
      </c>
      <c r="B232" s="17">
        <v>45825.0</v>
      </c>
      <c r="C232" s="26" t="s">
        <v>1116</v>
      </c>
      <c r="D232" s="26"/>
      <c r="E232" s="26" t="s">
        <v>200</v>
      </c>
      <c r="F232" s="26" t="s">
        <v>39</v>
      </c>
      <c r="G232" s="27">
        <v>2100.0</v>
      </c>
      <c r="H232" s="26"/>
      <c r="I232" s="26" t="s">
        <v>1117</v>
      </c>
      <c r="J232" s="26"/>
      <c r="K232" s="26" t="s">
        <v>764</v>
      </c>
      <c r="L232" s="26" t="s">
        <v>47</v>
      </c>
      <c r="M232" s="26" t="s">
        <v>171</v>
      </c>
      <c r="N232" s="26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</row>
    <row r="233" ht="15.75" customHeight="1">
      <c r="A233" s="26">
        <v>232.0</v>
      </c>
      <c r="B233" s="17">
        <v>45825.0</v>
      </c>
      <c r="C233" s="26" t="s">
        <v>1118</v>
      </c>
      <c r="D233" s="26"/>
      <c r="E233" s="26" t="s">
        <v>200</v>
      </c>
      <c r="F233" s="26" t="s">
        <v>39</v>
      </c>
      <c r="G233" s="27">
        <v>2100.0</v>
      </c>
      <c r="H233" s="26"/>
      <c r="I233" s="26" t="s">
        <v>1119</v>
      </c>
      <c r="J233" s="26"/>
      <c r="K233" s="26" t="s">
        <v>764</v>
      </c>
      <c r="L233" s="26" t="s">
        <v>47</v>
      </c>
      <c r="M233" s="26" t="s">
        <v>171</v>
      </c>
      <c r="N233" s="26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</row>
    <row r="234" ht="15.75" customHeight="1">
      <c r="A234" s="26">
        <v>233.0</v>
      </c>
      <c r="B234" s="17">
        <v>45825.0</v>
      </c>
      <c r="C234" s="26" t="s">
        <v>1120</v>
      </c>
      <c r="D234" s="26"/>
      <c r="E234" s="26" t="s">
        <v>1121</v>
      </c>
      <c r="F234" s="26" t="s">
        <v>39</v>
      </c>
      <c r="G234" s="27">
        <v>2100.0</v>
      </c>
      <c r="H234" s="26"/>
      <c r="I234" s="26" t="s">
        <v>1122</v>
      </c>
      <c r="J234" s="26"/>
      <c r="K234" s="26" t="s">
        <v>764</v>
      </c>
      <c r="L234" s="26" t="s">
        <v>47</v>
      </c>
      <c r="M234" s="26" t="s">
        <v>171</v>
      </c>
      <c r="N234" s="26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</row>
    <row r="235" ht="15.75" customHeight="1">
      <c r="A235" s="26">
        <v>234.0</v>
      </c>
      <c r="B235" s="17">
        <v>45825.0</v>
      </c>
      <c r="C235" s="26" t="s">
        <v>1123</v>
      </c>
      <c r="D235" s="26"/>
      <c r="E235" s="26" t="s">
        <v>1124</v>
      </c>
      <c r="F235" s="26" t="s">
        <v>117</v>
      </c>
      <c r="G235" s="27">
        <v>5100.0</v>
      </c>
      <c r="H235" s="26"/>
      <c r="I235" s="26" t="s">
        <v>1125</v>
      </c>
      <c r="J235" s="26"/>
      <c r="K235" s="26" t="s">
        <v>764</v>
      </c>
      <c r="L235" s="26" t="s">
        <v>47</v>
      </c>
      <c r="M235" s="26" t="s">
        <v>171</v>
      </c>
      <c r="N235" s="26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</row>
    <row r="236" ht="15.75" customHeight="1">
      <c r="A236" s="26">
        <v>235.0</v>
      </c>
      <c r="B236" s="17">
        <v>45825.0</v>
      </c>
      <c r="C236" s="26" t="s">
        <v>1126</v>
      </c>
      <c r="D236" s="26"/>
      <c r="E236" s="26" t="s">
        <v>1127</v>
      </c>
      <c r="F236" s="26" t="s">
        <v>39</v>
      </c>
      <c r="G236" s="27">
        <v>11000.0</v>
      </c>
      <c r="H236" s="26"/>
      <c r="I236" s="26" t="s">
        <v>1128</v>
      </c>
      <c r="J236" s="26"/>
      <c r="K236" s="26" t="s">
        <v>764</v>
      </c>
      <c r="L236" s="26" t="s">
        <v>47</v>
      </c>
      <c r="M236" s="26" t="s">
        <v>171</v>
      </c>
      <c r="N236" s="26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</row>
    <row r="237" ht="15.75" customHeight="1">
      <c r="A237" s="26">
        <v>236.0</v>
      </c>
      <c r="B237" s="17">
        <v>45825.0</v>
      </c>
      <c r="C237" s="26" t="s">
        <v>1129</v>
      </c>
      <c r="D237" s="26"/>
      <c r="E237" s="26" t="s">
        <v>1130</v>
      </c>
      <c r="F237" s="26" t="s">
        <v>117</v>
      </c>
      <c r="G237" s="27">
        <v>2100.0</v>
      </c>
      <c r="H237" s="26"/>
      <c r="I237" s="26" t="s">
        <v>1131</v>
      </c>
      <c r="J237" s="26"/>
      <c r="K237" s="26" t="s">
        <v>764</v>
      </c>
      <c r="L237" s="26" t="s">
        <v>47</v>
      </c>
      <c r="M237" s="26" t="s">
        <v>171</v>
      </c>
      <c r="N237" s="26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</row>
    <row r="238" ht="15.75" customHeight="1">
      <c r="A238" s="26">
        <v>237.0</v>
      </c>
      <c r="B238" s="17">
        <v>45825.0</v>
      </c>
      <c r="C238" s="26" t="s">
        <v>1132</v>
      </c>
      <c r="D238" s="26"/>
      <c r="E238" s="26" t="s">
        <v>1133</v>
      </c>
      <c r="F238" s="26" t="s">
        <v>39</v>
      </c>
      <c r="G238" s="27">
        <v>1100.0</v>
      </c>
      <c r="H238" s="26"/>
      <c r="I238" s="26" t="s">
        <v>1134</v>
      </c>
      <c r="J238" s="26"/>
      <c r="K238" s="26" t="s">
        <v>764</v>
      </c>
      <c r="L238" s="26" t="s">
        <v>47</v>
      </c>
      <c r="M238" s="26" t="s">
        <v>171</v>
      </c>
      <c r="N238" s="26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</row>
    <row r="239" ht="15.75" customHeight="1">
      <c r="A239" s="26">
        <v>238.0</v>
      </c>
      <c r="B239" s="17">
        <v>45825.0</v>
      </c>
      <c r="C239" s="26" t="s">
        <v>857</v>
      </c>
      <c r="D239" s="26"/>
      <c r="E239" s="26" t="s">
        <v>1135</v>
      </c>
      <c r="F239" s="26" t="s">
        <v>39</v>
      </c>
      <c r="G239" s="27">
        <v>2100.0</v>
      </c>
      <c r="H239" s="26"/>
      <c r="I239" s="26" t="s">
        <v>1136</v>
      </c>
      <c r="J239" s="26"/>
      <c r="K239" s="26" t="s">
        <v>764</v>
      </c>
      <c r="L239" s="26" t="s">
        <v>47</v>
      </c>
      <c r="M239" s="26" t="s">
        <v>171</v>
      </c>
      <c r="N239" s="26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</row>
    <row r="240" ht="15.75" customHeight="1">
      <c r="A240" s="26">
        <v>239.0</v>
      </c>
      <c r="B240" s="17">
        <v>45825.0</v>
      </c>
      <c r="C240" s="26" t="s">
        <v>1137</v>
      </c>
      <c r="D240" s="26"/>
      <c r="E240" s="26" t="s">
        <v>1138</v>
      </c>
      <c r="F240" s="26" t="s">
        <v>39</v>
      </c>
      <c r="G240" s="27">
        <v>11100.0</v>
      </c>
      <c r="H240" s="26"/>
      <c r="I240" s="26" t="s">
        <v>1139</v>
      </c>
      <c r="J240" s="26"/>
      <c r="K240" s="26" t="s">
        <v>764</v>
      </c>
      <c r="L240" s="26" t="s">
        <v>47</v>
      </c>
      <c r="M240" s="26" t="s">
        <v>171</v>
      </c>
      <c r="N240" s="26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</row>
    <row r="241" ht="15.75" customHeight="1">
      <c r="A241" s="26">
        <v>240.0</v>
      </c>
      <c r="B241" s="17">
        <v>45825.0</v>
      </c>
      <c r="C241" s="26" t="s">
        <v>1140</v>
      </c>
      <c r="D241" s="26"/>
      <c r="E241" s="26" t="s">
        <v>1141</v>
      </c>
      <c r="F241" s="26" t="s">
        <v>39</v>
      </c>
      <c r="G241" s="27">
        <v>2100.0</v>
      </c>
      <c r="H241" s="26"/>
      <c r="I241" s="26" t="s">
        <v>1142</v>
      </c>
      <c r="J241" s="26"/>
      <c r="K241" s="26" t="s">
        <v>764</v>
      </c>
      <c r="L241" s="26" t="s">
        <v>47</v>
      </c>
      <c r="M241" s="26" t="s">
        <v>171</v>
      </c>
      <c r="N241" s="26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</row>
    <row r="242" ht="15.75" customHeight="1">
      <c r="A242" s="26">
        <v>241.0</v>
      </c>
      <c r="B242" s="17">
        <v>45825.0</v>
      </c>
      <c r="C242" s="26" t="s">
        <v>1143</v>
      </c>
      <c r="D242" s="26"/>
      <c r="E242" s="26" t="s">
        <v>1144</v>
      </c>
      <c r="F242" s="26" t="s">
        <v>39</v>
      </c>
      <c r="G242" s="27">
        <v>500.0</v>
      </c>
      <c r="H242" s="26"/>
      <c r="I242" s="26" t="s">
        <v>1145</v>
      </c>
      <c r="J242" s="26"/>
      <c r="K242" s="26" t="s">
        <v>764</v>
      </c>
      <c r="L242" s="26" t="s">
        <v>47</v>
      </c>
      <c r="M242" s="26" t="s">
        <v>171</v>
      </c>
      <c r="N242" s="26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</row>
    <row r="243" ht="15.75" customHeight="1">
      <c r="A243" s="26">
        <v>242.0</v>
      </c>
      <c r="B243" s="17">
        <v>45825.0</v>
      </c>
      <c r="C243" s="26" t="s">
        <v>1146</v>
      </c>
      <c r="D243" s="26"/>
      <c r="E243" s="26" t="s">
        <v>1147</v>
      </c>
      <c r="F243" s="26" t="s">
        <v>39</v>
      </c>
      <c r="G243" s="27">
        <v>1100.0</v>
      </c>
      <c r="H243" s="26"/>
      <c r="I243" s="26" t="s">
        <v>1148</v>
      </c>
      <c r="J243" s="26"/>
      <c r="K243" s="26" t="s">
        <v>764</v>
      </c>
      <c r="L243" s="26" t="s">
        <v>47</v>
      </c>
      <c r="M243" s="26" t="s">
        <v>171</v>
      </c>
      <c r="N243" s="26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</row>
    <row r="244" ht="15.75" customHeight="1">
      <c r="A244" s="26">
        <v>243.0</v>
      </c>
      <c r="B244" s="17">
        <v>45825.0</v>
      </c>
      <c r="C244" s="26" t="s">
        <v>1149</v>
      </c>
      <c r="D244" s="26"/>
      <c r="E244" s="26" t="s">
        <v>1147</v>
      </c>
      <c r="F244" s="26" t="s">
        <v>39</v>
      </c>
      <c r="G244" s="27">
        <v>1100.0</v>
      </c>
      <c r="H244" s="26"/>
      <c r="I244" s="26" t="s">
        <v>1150</v>
      </c>
      <c r="J244" s="26"/>
      <c r="K244" s="26" t="s">
        <v>764</v>
      </c>
      <c r="L244" s="26" t="s">
        <v>47</v>
      </c>
      <c r="M244" s="26" t="s">
        <v>171</v>
      </c>
      <c r="N244" s="26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</row>
    <row r="245" ht="15.75" customHeight="1">
      <c r="A245" s="26">
        <v>244.0</v>
      </c>
      <c r="B245" s="17">
        <v>45825.0</v>
      </c>
      <c r="C245" s="26" t="s">
        <v>1151</v>
      </c>
      <c r="D245" s="26"/>
      <c r="E245" s="26" t="s">
        <v>1152</v>
      </c>
      <c r="F245" s="26" t="s">
        <v>39</v>
      </c>
      <c r="G245" s="27">
        <v>5100.0</v>
      </c>
      <c r="H245" s="26"/>
      <c r="I245" s="26" t="s">
        <v>1153</v>
      </c>
      <c r="J245" s="26"/>
      <c r="K245" s="26" t="s">
        <v>764</v>
      </c>
      <c r="L245" s="26" t="s">
        <v>47</v>
      </c>
      <c r="M245" s="26" t="s">
        <v>171</v>
      </c>
      <c r="N245" s="26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</row>
    <row r="246" ht="15.75" customHeight="1">
      <c r="A246" s="26">
        <v>245.0</v>
      </c>
      <c r="B246" s="17">
        <v>45826.0</v>
      </c>
      <c r="C246" s="26" t="s">
        <v>1154</v>
      </c>
      <c r="D246" s="26"/>
      <c r="E246" s="26" t="s">
        <v>1155</v>
      </c>
      <c r="F246" s="26" t="s">
        <v>117</v>
      </c>
      <c r="G246" s="27">
        <v>1100.0</v>
      </c>
      <c r="H246" s="26"/>
      <c r="I246" s="26" t="s">
        <v>1156</v>
      </c>
      <c r="J246" s="26"/>
      <c r="K246" s="26" t="s">
        <v>603</v>
      </c>
      <c r="L246" s="26" t="s">
        <v>47</v>
      </c>
      <c r="M246" s="26" t="s">
        <v>171</v>
      </c>
      <c r="N246" s="26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</row>
    <row r="247" ht="15.75" customHeight="1">
      <c r="A247" s="26">
        <v>246.0</v>
      </c>
      <c r="B247" s="17">
        <v>45826.0</v>
      </c>
      <c r="C247" s="26" t="s">
        <v>1157</v>
      </c>
      <c r="D247" s="26"/>
      <c r="E247" s="26" t="s">
        <v>1158</v>
      </c>
      <c r="F247" s="26" t="s">
        <v>39</v>
      </c>
      <c r="G247" s="27">
        <v>2100.0</v>
      </c>
      <c r="H247" s="26"/>
      <c r="I247" s="26" t="s">
        <v>1159</v>
      </c>
      <c r="J247" s="26"/>
      <c r="K247" s="26" t="s">
        <v>764</v>
      </c>
      <c r="L247" s="26" t="s">
        <v>47</v>
      </c>
      <c r="M247" s="26" t="s">
        <v>171</v>
      </c>
      <c r="N247" s="26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</row>
    <row r="248" ht="15.75" customHeight="1">
      <c r="A248" s="26">
        <v>247.0</v>
      </c>
      <c r="B248" s="17">
        <v>45827.0</v>
      </c>
      <c r="C248" s="26" t="s">
        <v>1160</v>
      </c>
      <c r="D248" s="26"/>
      <c r="E248" s="26" t="s">
        <v>1161</v>
      </c>
      <c r="F248" s="26" t="s">
        <v>39</v>
      </c>
      <c r="G248" s="27">
        <v>3100.0</v>
      </c>
      <c r="H248" s="26"/>
      <c r="I248" s="26" t="s">
        <v>1162</v>
      </c>
      <c r="J248" s="26"/>
      <c r="K248" s="26" t="s">
        <v>764</v>
      </c>
      <c r="L248" s="26" t="s">
        <v>47</v>
      </c>
      <c r="M248" s="26" t="s">
        <v>171</v>
      </c>
      <c r="N248" s="26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</row>
    <row r="249" ht="15.75" customHeight="1">
      <c r="A249" s="26">
        <v>248.0</v>
      </c>
      <c r="B249" s="17">
        <v>45827.0</v>
      </c>
      <c r="C249" s="26" t="s">
        <v>1163</v>
      </c>
      <c r="D249" s="26"/>
      <c r="E249" s="26" t="s">
        <v>200</v>
      </c>
      <c r="F249" s="26" t="s">
        <v>39</v>
      </c>
      <c r="G249" s="27">
        <v>11000.0</v>
      </c>
      <c r="H249" s="26"/>
      <c r="I249" s="26" t="s">
        <v>1164</v>
      </c>
      <c r="J249" s="26"/>
      <c r="K249" s="26" t="s">
        <v>764</v>
      </c>
      <c r="L249" s="26" t="s">
        <v>47</v>
      </c>
      <c r="M249" s="26" t="s">
        <v>171</v>
      </c>
      <c r="N249" s="26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</row>
    <row r="250" ht="15.75" customHeight="1">
      <c r="A250" s="26">
        <v>249.0</v>
      </c>
      <c r="B250" s="17">
        <v>45830.0</v>
      </c>
      <c r="C250" s="26" t="s">
        <v>748</v>
      </c>
      <c r="D250" s="26">
        <v>9.872807459E9</v>
      </c>
      <c r="E250" s="26" t="s">
        <v>749</v>
      </c>
      <c r="F250" s="26" t="s">
        <v>117</v>
      </c>
      <c r="G250" s="27">
        <v>3850.0</v>
      </c>
      <c r="H250" s="26"/>
      <c r="I250" s="26" t="s">
        <v>1165</v>
      </c>
      <c r="J250" s="26"/>
      <c r="K250" s="26" t="s">
        <v>344</v>
      </c>
      <c r="L250" s="26" t="s">
        <v>47</v>
      </c>
      <c r="M250" s="26" t="s">
        <v>344</v>
      </c>
      <c r="N250" s="26" t="s">
        <v>1166</v>
      </c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</row>
    <row r="251" ht="15.75" customHeight="1">
      <c r="A251" s="26">
        <v>250.0</v>
      </c>
      <c r="B251" s="17">
        <v>45830.0</v>
      </c>
      <c r="C251" s="26" t="s">
        <v>1167</v>
      </c>
      <c r="D251" s="26" t="s">
        <v>1168</v>
      </c>
      <c r="E251" s="26" t="s">
        <v>1169</v>
      </c>
      <c r="F251" s="26" t="s">
        <v>117</v>
      </c>
      <c r="G251" s="27">
        <v>1750.0</v>
      </c>
      <c r="H251" s="26"/>
      <c r="I251" s="26" t="s">
        <v>1170</v>
      </c>
      <c r="J251" s="26"/>
      <c r="K251" s="26" t="s">
        <v>764</v>
      </c>
      <c r="L251" s="26" t="s">
        <v>47</v>
      </c>
      <c r="M251" s="26" t="s">
        <v>171</v>
      </c>
      <c r="N251" s="26" t="s">
        <v>1171</v>
      </c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</row>
    <row r="252" ht="15.75" customHeight="1">
      <c r="A252" s="26">
        <v>251.0</v>
      </c>
      <c r="B252" s="17">
        <v>45825.0</v>
      </c>
      <c r="C252" s="26" t="s">
        <v>866</v>
      </c>
      <c r="D252" s="26"/>
      <c r="E252" s="26"/>
      <c r="F252" s="26" t="s">
        <v>39</v>
      </c>
      <c r="G252" s="27">
        <v>910.0</v>
      </c>
      <c r="H252" s="26"/>
      <c r="I252" s="26" t="s">
        <v>1172</v>
      </c>
      <c r="J252" s="26"/>
      <c r="K252" s="26" t="s">
        <v>45</v>
      </c>
      <c r="L252" s="26" t="s">
        <v>47</v>
      </c>
      <c r="M252" s="26" t="s">
        <v>866</v>
      </c>
      <c r="N252" s="26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</row>
    <row r="253" ht="15.75" customHeight="1">
      <c r="A253" s="26">
        <v>252.0</v>
      </c>
      <c r="B253" s="17">
        <v>45832.0</v>
      </c>
      <c r="C253" s="26" t="s">
        <v>866</v>
      </c>
      <c r="D253" s="26"/>
      <c r="E253" s="26"/>
      <c r="F253" s="26" t="s">
        <v>39</v>
      </c>
      <c r="G253" s="27">
        <v>1650.0</v>
      </c>
      <c r="H253" s="26"/>
      <c r="I253" s="26" t="s">
        <v>1173</v>
      </c>
      <c r="J253" s="26"/>
      <c r="K253" s="26" t="s">
        <v>45</v>
      </c>
      <c r="L253" s="26" t="s">
        <v>47</v>
      </c>
      <c r="M253" s="26" t="s">
        <v>866</v>
      </c>
      <c r="N253" s="26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</row>
    <row r="254" ht="15.75" customHeight="1">
      <c r="A254" s="26">
        <v>253.0</v>
      </c>
      <c r="B254" s="17">
        <v>45832.0</v>
      </c>
      <c r="C254" s="26" t="s">
        <v>145</v>
      </c>
      <c r="D254" s="26"/>
      <c r="E254" s="26"/>
      <c r="F254" s="26" t="s">
        <v>39</v>
      </c>
      <c r="G254" s="27">
        <v>500.0</v>
      </c>
      <c r="H254" s="26"/>
      <c r="I254" s="26" t="s">
        <v>1174</v>
      </c>
      <c r="J254" s="26"/>
      <c r="K254" s="26" t="s">
        <v>45</v>
      </c>
      <c r="L254" s="26" t="s">
        <v>47</v>
      </c>
      <c r="M254" s="26" t="s">
        <v>54</v>
      </c>
      <c r="N254" s="26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</row>
    <row r="255" ht="15.75" customHeight="1">
      <c r="A255" s="26">
        <v>254.0</v>
      </c>
      <c r="B255" s="17">
        <v>45832.0</v>
      </c>
      <c r="C255" s="26" t="s">
        <v>1175</v>
      </c>
      <c r="D255" s="26"/>
      <c r="E255" s="26" t="s">
        <v>1176</v>
      </c>
      <c r="F255" s="26" t="s">
        <v>39</v>
      </c>
      <c r="G255" s="27">
        <v>5100.0</v>
      </c>
      <c r="H255" s="26"/>
      <c r="I255" s="26" t="s">
        <v>1177</v>
      </c>
      <c r="J255" s="26"/>
      <c r="K255" s="26" t="s">
        <v>764</v>
      </c>
      <c r="L255" s="26" t="s">
        <v>47</v>
      </c>
      <c r="M255" s="26" t="s">
        <v>171</v>
      </c>
      <c r="N255" s="26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</row>
    <row r="256" ht="15.75" customHeight="1">
      <c r="A256" s="26">
        <v>255.0</v>
      </c>
      <c r="B256" s="17">
        <v>45832.0</v>
      </c>
      <c r="C256" s="26" t="s">
        <v>1178</v>
      </c>
      <c r="D256" s="26"/>
      <c r="E256" s="26" t="s">
        <v>1179</v>
      </c>
      <c r="F256" s="26" t="s">
        <v>39</v>
      </c>
      <c r="G256" s="27">
        <v>1100.0</v>
      </c>
      <c r="H256" s="26"/>
      <c r="I256" s="26" t="s">
        <v>1180</v>
      </c>
      <c r="J256" s="26"/>
      <c r="K256" s="26" t="s">
        <v>764</v>
      </c>
      <c r="L256" s="26" t="s">
        <v>47</v>
      </c>
      <c r="M256" s="26" t="s">
        <v>171</v>
      </c>
      <c r="N256" s="26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</row>
    <row r="257" ht="15.75" customHeight="1">
      <c r="A257" s="26">
        <v>256.0</v>
      </c>
      <c r="B257" s="17">
        <v>45831.0</v>
      </c>
      <c r="C257" s="26" t="s">
        <v>1181</v>
      </c>
      <c r="D257" s="26"/>
      <c r="E257" s="26"/>
      <c r="F257" s="26" t="s">
        <v>39</v>
      </c>
      <c r="G257" s="27">
        <v>5100.0</v>
      </c>
      <c r="H257" s="26"/>
      <c r="I257" s="26" t="s">
        <v>1182</v>
      </c>
      <c r="J257" s="26"/>
      <c r="K257" s="26" t="s">
        <v>310</v>
      </c>
      <c r="L257" s="26" t="s">
        <v>47</v>
      </c>
      <c r="M257" s="26" t="s">
        <v>313</v>
      </c>
      <c r="N257" s="26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</row>
    <row r="258" ht="15.75" customHeight="1">
      <c r="A258" s="26">
        <v>257.0</v>
      </c>
      <c r="B258" s="17">
        <v>45831.0</v>
      </c>
      <c r="C258" s="26" t="s">
        <v>1183</v>
      </c>
      <c r="D258" s="26"/>
      <c r="E258" s="26" t="s">
        <v>1104</v>
      </c>
      <c r="F258" s="26" t="s">
        <v>39</v>
      </c>
      <c r="G258" s="27">
        <v>5100.0</v>
      </c>
      <c r="H258" s="26"/>
      <c r="I258" s="26" t="s">
        <v>1184</v>
      </c>
      <c r="J258" s="26"/>
      <c r="K258" s="26" t="s">
        <v>310</v>
      </c>
      <c r="L258" s="26" t="s">
        <v>47</v>
      </c>
      <c r="M258" s="26" t="s">
        <v>313</v>
      </c>
      <c r="N258" s="26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</row>
    <row r="259" ht="15.75" customHeight="1">
      <c r="A259" s="26">
        <v>258.0</v>
      </c>
      <c r="B259" s="17">
        <v>45835.0</v>
      </c>
      <c r="C259" s="26" t="s">
        <v>1185</v>
      </c>
      <c r="D259" s="26"/>
      <c r="E259" s="26" t="s">
        <v>1100</v>
      </c>
      <c r="F259" s="26" t="s">
        <v>39</v>
      </c>
      <c r="G259" s="27">
        <v>1100.0</v>
      </c>
      <c r="H259" s="26"/>
      <c r="I259" s="26" t="s">
        <v>1186</v>
      </c>
      <c r="J259" s="26"/>
      <c r="K259" s="26" t="s">
        <v>310</v>
      </c>
      <c r="L259" s="26" t="s">
        <v>47</v>
      </c>
      <c r="M259" s="26" t="s">
        <v>313</v>
      </c>
      <c r="N259" s="26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</row>
    <row r="260" ht="15.75" customHeight="1">
      <c r="A260" s="26">
        <v>259.0</v>
      </c>
      <c r="B260" s="17">
        <v>45835.0</v>
      </c>
      <c r="C260" s="26" t="s">
        <v>1187</v>
      </c>
      <c r="D260" s="26"/>
      <c r="E260" s="26" t="s">
        <v>1188</v>
      </c>
      <c r="F260" s="26" t="s">
        <v>39</v>
      </c>
      <c r="G260" s="27">
        <v>11000.0</v>
      </c>
      <c r="H260" s="26"/>
      <c r="I260" s="26" t="s">
        <v>1189</v>
      </c>
      <c r="J260" s="26"/>
      <c r="K260" s="26" t="s">
        <v>310</v>
      </c>
      <c r="L260" s="26" t="s">
        <v>47</v>
      </c>
      <c r="M260" s="26" t="s">
        <v>313</v>
      </c>
      <c r="N260" s="26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</row>
    <row r="261" ht="15.75" customHeight="1">
      <c r="A261" s="26">
        <v>260.0</v>
      </c>
      <c r="B261" s="17">
        <v>45838.0</v>
      </c>
      <c r="C261" s="26" t="s">
        <v>724</v>
      </c>
      <c r="D261" s="26"/>
      <c r="E261" s="26" t="s">
        <v>1190</v>
      </c>
      <c r="F261" s="26" t="s">
        <v>39</v>
      </c>
      <c r="G261" s="27">
        <v>1100.0</v>
      </c>
      <c r="H261" s="26"/>
      <c r="I261" s="26" t="s">
        <v>1191</v>
      </c>
      <c r="J261" s="26"/>
      <c r="K261" s="26" t="s">
        <v>310</v>
      </c>
      <c r="L261" s="26" t="s">
        <v>47</v>
      </c>
      <c r="M261" s="26" t="s">
        <v>313</v>
      </c>
      <c r="N261" s="26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</row>
    <row r="262" ht="15.75" customHeight="1">
      <c r="A262" s="26">
        <v>261.0</v>
      </c>
      <c r="B262" s="17">
        <v>45838.0</v>
      </c>
      <c r="C262" s="26" t="s">
        <v>1192</v>
      </c>
      <c r="D262" s="26"/>
      <c r="E262" s="26"/>
      <c r="F262" s="26" t="s">
        <v>39</v>
      </c>
      <c r="G262" s="27">
        <v>11000.0</v>
      </c>
      <c r="H262" s="26"/>
      <c r="I262" s="26" t="s">
        <v>1193</v>
      </c>
      <c r="J262" s="26"/>
      <c r="K262" s="26" t="s">
        <v>310</v>
      </c>
      <c r="L262" s="26" t="s">
        <v>47</v>
      </c>
      <c r="M262" s="26" t="s">
        <v>313</v>
      </c>
      <c r="N262" s="26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</row>
    <row r="263" ht="15.75" customHeight="1">
      <c r="A263" s="26">
        <v>262.0</v>
      </c>
      <c r="B263" s="17">
        <v>45841.0</v>
      </c>
      <c r="C263" s="26" t="s">
        <v>851</v>
      </c>
      <c r="D263" s="26"/>
      <c r="E263" s="26" t="s">
        <v>1194</v>
      </c>
      <c r="F263" s="26" t="s">
        <v>39</v>
      </c>
      <c r="G263" s="27">
        <v>5100.0</v>
      </c>
      <c r="H263" s="26"/>
      <c r="I263" s="26" t="s">
        <v>1195</v>
      </c>
      <c r="J263" s="26"/>
      <c r="K263" s="26" t="s">
        <v>310</v>
      </c>
      <c r="L263" s="26" t="s">
        <v>47</v>
      </c>
      <c r="M263" s="26" t="s">
        <v>313</v>
      </c>
      <c r="N263" s="26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</row>
    <row r="264" ht="15.75" customHeight="1">
      <c r="A264" s="26">
        <v>263.0</v>
      </c>
      <c r="B264" s="17">
        <v>45841.0</v>
      </c>
      <c r="C264" s="26" t="s">
        <v>718</v>
      </c>
      <c r="D264" s="26"/>
      <c r="E264" s="26" t="s">
        <v>1092</v>
      </c>
      <c r="F264" s="26" t="s">
        <v>39</v>
      </c>
      <c r="G264" s="27">
        <v>2100.0</v>
      </c>
      <c r="H264" s="26"/>
      <c r="I264" s="26" t="s">
        <v>1196</v>
      </c>
      <c r="J264" s="26"/>
      <c r="K264" s="26" t="s">
        <v>310</v>
      </c>
      <c r="L264" s="26" t="s">
        <v>47</v>
      </c>
      <c r="M264" s="26" t="s">
        <v>313</v>
      </c>
      <c r="N264" s="26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</row>
    <row r="265" ht="15.75" customHeight="1">
      <c r="A265" s="26">
        <v>264.0</v>
      </c>
      <c r="B265" s="17">
        <v>45828.0</v>
      </c>
      <c r="C265" s="26" t="s">
        <v>1197</v>
      </c>
      <c r="D265" s="26"/>
      <c r="E265" s="26" t="s">
        <v>1179</v>
      </c>
      <c r="F265" s="26" t="s">
        <v>39</v>
      </c>
      <c r="G265" s="27">
        <v>5100.0</v>
      </c>
      <c r="H265" s="26"/>
      <c r="I265" s="28">
        <v>45665.0</v>
      </c>
      <c r="J265" s="26"/>
      <c r="K265" s="26" t="s">
        <v>764</v>
      </c>
      <c r="L265" s="26" t="s">
        <v>47</v>
      </c>
      <c r="M265" s="26" t="s">
        <v>171</v>
      </c>
      <c r="N265" s="26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</row>
    <row r="266" ht="15.75" customHeight="1">
      <c r="A266" s="26">
        <v>265.0</v>
      </c>
      <c r="B266" s="17">
        <v>45828.0</v>
      </c>
      <c r="C266" s="26" t="s">
        <v>1198</v>
      </c>
      <c r="D266" s="26"/>
      <c r="E266" s="26" t="s">
        <v>1199</v>
      </c>
      <c r="F266" s="26" t="s">
        <v>39</v>
      </c>
      <c r="G266" s="27">
        <v>1100.0</v>
      </c>
      <c r="H266" s="26"/>
      <c r="I266" s="28">
        <v>45696.0</v>
      </c>
      <c r="J266" s="26"/>
      <c r="K266" s="26" t="s">
        <v>764</v>
      </c>
      <c r="L266" s="26" t="s">
        <v>47</v>
      </c>
      <c r="M266" s="26" t="s">
        <v>171</v>
      </c>
      <c r="N266" s="26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</row>
    <row r="267" ht="15.75" customHeight="1">
      <c r="A267" s="26">
        <v>266.0</v>
      </c>
      <c r="B267" s="17">
        <v>45828.0</v>
      </c>
      <c r="C267" s="26" t="s">
        <v>1200</v>
      </c>
      <c r="D267" s="26"/>
      <c r="E267" s="26" t="s">
        <v>200</v>
      </c>
      <c r="F267" s="26" t="s">
        <v>39</v>
      </c>
      <c r="G267" s="27">
        <v>5001.0</v>
      </c>
      <c r="H267" s="26"/>
      <c r="I267" s="28">
        <v>45724.0</v>
      </c>
      <c r="J267" s="26"/>
      <c r="K267" s="26" t="s">
        <v>764</v>
      </c>
      <c r="L267" s="26" t="s">
        <v>47</v>
      </c>
      <c r="M267" s="26" t="s">
        <v>171</v>
      </c>
      <c r="N267" s="26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</row>
    <row r="268" ht="15.75" customHeight="1">
      <c r="A268" s="26">
        <v>267.0</v>
      </c>
      <c r="B268" s="17">
        <v>45829.0</v>
      </c>
      <c r="C268" s="26" t="s">
        <v>1201</v>
      </c>
      <c r="D268" s="26"/>
      <c r="E268" s="26" t="s">
        <v>219</v>
      </c>
      <c r="F268" s="26" t="s">
        <v>39</v>
      </c>
      <c r="G268" s="27">
        <v>3255.0</v>
      </c>
      <c r="H268" s="26"/>
      <c r="I268" s="28">
        <v>45755.0</v>
      </c>
      <c r="J268" s="26"/>
      <c r="K268" s="26" t="s">
        <v>764</v>
      </c>
      <c r="L268" s="26" t="s">
        <v>47</v>
      </c>
      <c r="M268" s="26" t="s">
        <v>171</v>
      </c>
      <c r="N268" s="26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</row>
    <row r="269" ht="15.75" customHeight="1">
      <c r="A269" s="26">
        <v>268.0</v>
      </c>
      <c r="B269" s="17">
        <v>45829.0</v>
      </c>
      <c r="C269" s="26" t="s">
        <v>1202</v>
      </c>
      <c r="D269" s="26"/>
      <c r="E269" s="26" t="s">
        <v>1203</v>
      </c>
      <c r="F269" s="26" t="s">
        <v>39</v>
      </c>
      <c r="G269" s="27">
        <v>500.0</v>
      </c>
      <c r="H269" s="26"/>
      <c r="I269" s="28">
        <v>45785.0</v>
      </c>
      <c r="J269" s="26"/>
      <c r="K269" s="26" t="s">
        <v>764</v>
      </c>
      <c r="L269" s="26" t="s">
        <v>47</v>
      </c>
      <c r="M269" s="26" t="s">
        <v>171</v>
      </c>
      <c r="N269" s="26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</row>
    <row r="270" ht="15.75" customHeight="1">
      <c r="A270" s="26">
        <v>269.0</v>
      </c>
      <c r="B270" s="17">
        <v>45829.0</v>
      </c>
      <c r="C270" s="26" t="s">
        <v>1204</v>
      </c>
      <c r="D270" s="26"/>
      <c r="E270" s="26" t="s">
        <v>200</v>
      </c>
      <c r="F270" s="26" t="s">
        <v>39</v>
      </c>
      <c r="G270" s="27">
        <v>2100.0</v>
      </c>
      <c r="H270" s="26"/>
      <c r="I270" s="28">
        <v>45816.0</v>
      </c>
      <c r="J270" s="26"/>
      <c r="K270" s="26" t="s">
        <v>764</v>
      </c>
      <c r="L270" s="26" t="s">
        <v>47</v>
      </c>
      <c r="M270" s="26" t="s">
        <v>171</v>
      </c>
      <c r="N270" s="26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</row>
    <row r="271" ht="15.75" customHeight="1">
      <c r="A271" s="26">
        <v>270.0</v>
      </c>
      <c r="B271" s="17">
        <v>45829.0</v>
      </c>
      <c r="C271" s="26" t="s">
        <v>1205</v>
      </c>
      <c r="D271" s="26"/>
      <c r="E271" s="26" t="s">
        <v>1206</v>
      </c>
      <c r="F271" s="26" t="s">
        <v>39</v>
      </c>
      <c r="G271" s="27">
        <v>2100.0</v>
      </c>
      <c r="H271" s="26"/>
      <c r="I271" s="28">
        <v>45846.0</v>
      </c>
      <c r="J271" s="26"/>
      <c r="K271" s="26" t="s">
        <v>764</v>
      </c>
      <c r="L271" s="26" t="s">
        <v>47</v>
      </c>
      <c r="M271" s="26" t="s">
        <v>171</v>
      </c>
      <c r="N271" s="26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</row>
    <row r="272" ht="15.75" customHeight="1">
      <c r="A272" s="26">
        <v>271.0</v>
      </c>
      <c r="B272" s="17">
        <v>45829.0</v>
      </c>
      <c r="C272" s="26" t="s">
        <v>1207</v>
      </c>
      <c r="D272" s="26"/>
      <c r="E272" s="26" t="s">
        <v>1206</v>
      </c>
      <c r="F272" s="26" t="s">
        <v>39</v>
      </c>
      <c r="G272" s="27">
        <v>500.0</v>
      </c>
      <c r="H272" s="26"/>
      <c r="I272" s="28">
        <v>45877.0</v>
      </c>
      <c r="J272" s="26"/>
      <c r="K272" s="26" t="s">
        <v>764</v>
      </c>
      <c r="L272" s="26" t="s">
        <v>47</v>
      </c>
      <c r="M272" s="26" t="s">
        <v>171</v>
      </c>
      <c r="N272" s="26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</row>
    <row r="273" ht="15.75" customHeight="1">
      <c r="A273" s="26">
        <v>272.0</v>
      </c>
      <c r="B273" s="17">
        <v>45829.0</v>
      </c>
      <c r="C273" s="26" t="s">
        <v>1208</v>
      </c>
      <c r="D273" s="26"/>
      <c r="E273" s="26" t="s">
        <v>1209</v>
      </c>
      <c r="F273" s="26" t="s">
        <v>39</v>
      </c>
      <c r="G273" s="27">
        <v>1100.0</v>
      </c>
      <c r="H273" s="26"/>
      <c r="I273" s="28">
        <v>45908.0</v>
      </c>
      <c r="J273" s="26"/>
      <c r="K273" s="26" t="s">
        <v>764</v>
      </c>
      <c r="L273" s="26" t="s">
        <v>47</v>
      </c>
      <c r="M273" s="26" t="s">
        <v>171</v>
      </c>
      <c r="N273" s="26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</row>
    <row r="274" ht="15.75" customHeight="1">
      <c r="A274" s="26">
        <v>273.0</v>
      </c>
      <c r="B274" s="17">
        <v>45832.0</v>
      </c>
      <c r="C274" s="26" t="s">
        <v>1210</v>
      </c>
      <c r="D274" s="26"/>
      <c r="E274" s="26"/>
      <c r="F274" s="26" t="s">
        <v>39</v>
      </c>
      <c r="G274" s="27">
        <v>1100.0</v>
      </c>
      <c r="H274" s="26"/>
      <c r="I274" s="28">
        <v>45938.0</v>
      </c>
      <c r="J274" s="26"/>
      <c r="K274" s="26" t="s">
        <v>764</v>
      </c>
      <c r="L274" s="26" t="s">
        <v>47</v>
      </c>
      <c r="M274" s="26" t="s">
        <v>171</v>
      </c>
      <c r="N274" s="26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</row>
    <row r="275" ht="15.75" customHeight="1">
      <c r="A275" s="26">
        <v>274.0</v>
      </c>
      <c r="B275" s="17">
        <v>45832.0</v>
      </c>
      <c r="C275" s="26" t="s">
        <v>1211</v>
      </c>
      <c r="D275" s="26"/>
      <c r="E275" s="26"/>
      <c r="F275" s="26" t="s">
        <v>39</v>
      </c>
      <c r="G275" s="27">
        <v>501.0</v>
      </c>
      <c r="H275" s="26"/>
      <c r="I275" s="28">
        <v>45969.0</v>
      </c>
      <c r="J275" s="26"/>
      <c r="K275" s="26" t="s">
        <v>764</v>
      </c>
      <c r="L275" s="26" t="s">
        <v>47</v>
      </c>
      <c r="M275" s="26" t="s">
        <v>171</v>
      </c>
      <c r="N275" s="26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</row>
    <row r="276" ht="15.75" customHeight="1">
      <c r="A276" s="26">
        <v>275.0</v>
      </c>
      <c r="B276" s="17">
        <v>45833.0</v>
      </c>
      <c r="C276" s="26" t="s">
        <v>1212</v>
      </c>
      <c r="D276" s="26"/>
      <c r="E276" s="26" t="s">
        <v>1213</v>
      </c>
      <c r="F276" s="26" t="s">
        <v>39</v>
      </c>
      <c r="G276" s="27">
        <v>1100.0</v>
      </c>
      <c r="H276" s="26"/>
      <c r="I276" s="28">
        <v>45999.0</v>
      </c>
      <c r="J276" s="26"/>
      <c r="K276" s="26" t="s">
        <v>764</v>
      </c>
      <c r="L276" s="26" t="s">
        <v>47</v>
      </c>
      <c r="M276" s="26" t="s">
        <v>171</v>
      </c>
      <c r="N276" s="26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</row>
    <row r="277" ht="15.75" customHeight="1">
      <c r="A277" s="26">
        <v>276.0</v>
      </c>
      <c r="B277" s="17">
        <v>45833.0</v>
      </c>
      <c r="C277" s="26" t="s">
        <v>1214</v>
      </c>
      <c r="D277" s="26"/>
      <c r="E277" s="26"/>
      <c r="F277" s="26" t="s">
        <v>39</v>
      </c>
      <c r="G277" s="27">
        <v>2100.0</v>
      </c>
      <c r="H277" s="26"/>
      <c r="I277" s="26" t="s">
        <v>1215</v>
      </c>
      <c r="J277" s="26"/>
      <c r="K277" s="26" t="s">
        <v>764</v>
      </c>
      <c r="L277" s="26" t="s">
        <v>47</v>
      </c>
      <c r="M277" s="26" t="s">
        <v>171</v>
      </c>
      <c r="N277" s="26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</row>
    <row r="278" ht="15.75" customHeight="1">
      <c r="A278" s="26">
        <v>277.0</v>
      </c>
      <c r="B278" s="17">
        <v>45835.0</v>
      </c>
      <c r="C278" s="26" t="s">
        <v>1216</v>
      </c>
      <c r="D278" s="26"/>
      <c r="E278" s="26" t="s">
        <v>1217</v>
      </c>
      <c r="F278" s="26" t="s">
        <v>39</v>
      </c>
      <c r="G278" s="27">
        <v>2100.0</v>
      </c>
      <c r="H278" s="26"/>
      <c r="I278" s="26" t="s">
        <v>1218</v>
      </c>
      <c r="J278" s="26"/>
      <c r="K278" s="26" t="s">
        <v>764</v>
      </c>
      <c r="L278" s="26" t="s">
        <v>47</v>
      </c>
      <c r="M278" s="26" t="s">
        <v>171</v>
      </c>
      <c r="N278" s="26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</row>
    <row r="279" ht="15.75" customHeight="1">
      <c r="A279" s="26">
        <v>278.0</v>
      </c>
      <c r="B279" s="17">
        <v>45839.0</v>
      </c>
      <c r="C279" s="26" t="s">
        <v>1219</v>
      </c>
      <c r="D279" s="26"/>
      <c r="E279" s="26" t="s">
        <v>1220</v>
      </c>
      <c r="F279" s="26" t="s">
        <v>39</v>
      </c>
      <c r="G279" s="27">
        <v>2100.0</v>
      </c>
      <c r="H279" s="26"/>
      <c r="I279" s="26" t="s">
        <v>1221</v>
      </c>
      <c r="J279" s="26"/>
      <c r="K279" s="26" t="s">
        <v>764</v>
      </c>
      <c r="L279" s="26" t="s">
        <v>47</v>
      </c>
      <c r="M279" s="26" t="s">
        <v>171</v>
      </c>
      <c r="N279" s="26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</row>
    <row r="280" ht="15.75" customHeight="1">
      <c r="A280" s="26">
        <v>279.0</v>
      </c>
      <c r="B280" s="17">
        <v>45839.0</v>
      </c>
      <c r="C280" s="26" t="s">
        <v>1222</v>
      </c>
      <c r="D280" s="26"/>
      <c r="E280" s="26" t="s">
        <v>200</v>
      </c>
      <c r="F280" s="26" t="s">
        <v>39</v>
      </c>
      <c r="G280" s="27">
        <v>1100.0</v>
      </c>
      <c r="H280" s="26"/>
      <c r="I280" s="26" t="s">
        <v>1223</v>
      </c>
      <c r="J280" s="26"/>
      <c r="K280" s="26" t="s">
        <v>764</v>
      </c>
      <c r="L280" s="26" t="s">
        <v>47</v>
      </c>
      <c r="M280" s="26" t="s">
        <v>171</v>
      </c>
      <c r="N280" s="26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</row>
    <row r="281" ht="15.75" customHeight="1">
      <c r="A281" s="26">
        <v>280.0</v>
      </c>
      <c r="B281" s="17">
        <v>45841.0</v>
      </c>
      <c r="C281" s="26" t="s">
        <v>1224</v>
      </c>
      <c r="D281" s="26"/>
      <c r="E281" s="26" t="s">
        <v>1225</v>
      </c>
      <c r="F281" s="26" t="s">
        <v>39</v>
      </c>
      <c r="G281" s="27">
        <v>500.0</v>
      </c>
      <c r="H281" s="26"/>
      <c r="I281" s="26" t="s">
        <v>1226</v>
      </c>
      <c r="J281" s="26"/>
      <c r="K281" s="26" t="s">
        <v>764</v>
      </c>
      <c r="L281" s="26" t="s">
        <v>47</v>
      </c>
      <c r="M281" s="26" t="s">
        <v>171</v>
      </c>
      <c r="N281" s="26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</row>
    <row r="282" ht="15.75" customHeight="1">
      <c r="A282" s="26">
        <v>281.0</v>
      </c>
      <c r="B282" s="17">
        <v>45841.0</v>
      </c>
      <c r="C282" s="26" t="s">
        <v>1227</v>
      </c>
      <c r="D282" s="26"/>
      <c r="E282" s="26"/>
      <c r="F282" s="26" t="s">
        <v>39</v>
      </c>
      <c r="G282" s="27">
        <v>2100.0</v>
      </c>
      <c r="H282" s="26"/>
      <c r="I282" s="26" t="s">
        <v>1228</v>
      </c>
      <c r="J282" s="26"/>
      <c r="K282" s="26" t="s">
        <v>764</v>
      </c>
      <c r="L282" s="26" t="s">
        <v>47</v>
      </c>
      <c r="M282" s="26" t="s">
        <v>171</v>
      </c>
      <c r="N282" s="26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</row>
    <row r="283" ht="15.75" customHeight="1">
      <c r="A283" s="26">
        <v>282.0</v>
      </c>
      <c r="B283" s="17">
        <v>45832.0</v>
      </c>
      <c r="C283" s="26" t="s">
        <v>1229</v>
      </c>
      <c r="D283" s="26"/>
      <c r="E283" s="26" t="s">
        <v>1230</v>
      </c>
      <c r="F283" s="26" t="s">
        <v>39</v>
      </c>
      <c r="G283" s="27">
        <v>2100.0</v>
      </c>
      <c r="H283" s="26"/>
      <c r="I283" s="26" t="s">
        <v>1231</v>
      </c>
      <c r="J283" s="26"/>
      <c r="K283" s="26" t="s">
        <v>603</v>
      </c>
      <c r="L283" s="26" t="s">
        <v>47</v>
      </c>
      <c r="M283" s="26" t="s">
        <v>54</v>
      </c>
      <c r="N283" s="26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</row>
    <row r="284" ht="15.75" customHeight="1">
      <c r="A284" s="26">
        <v>283.0</v>
      </c>
      <c r="B284" s="17">
        <v>45832.0</v>
      </c>
      <c r="C284" s="26" t="s">
        <v>1232</v>
      </c>
      <c r="D284" s="26">
        <v>9.818657755E9</v>
      </c>
      <c r="E284" s="26"/>
      <c r="F284" s="26" t="s">
        <v>39</v>
      </c>
      <c r="G284" s="27">
        <v>11000.0</v>
      </c>
      <c r="H284" s="26"/>
      <c r="I284" s="26" t="s">
        <v>1233</v>
      </c>
      <c r="J284" s="26"/>
      <c r="K284" s="26" t="s">
        <v>603</v>
      </c>
      <c r="L284" s="26" t="s">
        <v>47</v>
      </c>
      <c r="M284" s="26" t="s">
        <v>54</v>
      </c>
      <c r="N284" s="26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</row>
    <row r="285" ht="15.75" customHeight="1">
      <c r="A285" s="26">
        <v>284.0</v>
      </c>
      <c r="B285" s="17">
        <v>45839.0</v>
      </c>
      <c r="C285" s="26" t="s">
        <v>1234</v>
      </c>
      <c r="D285" s="26"/>
      <c r="E285" s="26" t="s">
        <v>1235</v>
      </c>
      <c r="F285" s="26" t="s">
        <v>39</v>
      </c>
      <c r="G285" s="27">
        <v>1100.0</v>
      </c>
      <c r="H285" s="26"/>
      <c r="I285" s="26" t="s">
        <v>1236</v>
      </c>
      <c r="J285" s="26"/>
      <c r="K285" s="26" t="s">
        <v>603</v>
      </c>
      <c r="L285" s="26" t="s">
        <v>47</v>
      </c>
      <c r="M285" s="26" t="s">
        <v>54</v>
      </c>
      <c r="N285" s="26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</row>
    <row r="286" ht="15.75" customHeight="1">
      <c r="A286" s="26">
        <v>285.0</v>
      </c>
      <c r="B286" s="17">
        <v>45839.0</v>
      </c>
      <c r="C286" s="26" t="s">
        <v>1237</v>
      </c>
      <c r="D286" s="26"/>
      <c r="E286" s="26"/>
      <c r="F286" s="26" t="s">
        <v>39</v>
      </c>
      <c r="G286" s="27">
        <v>1100.0</v>
      </c>
      <c r="H286" s="26"/>
      <c r="I286" s="26" t="s">
        <v>1238</v>
      </c>
      <c r="J286" s="26"/>
      <c r="K286" s="26" t="s">
        <v>603</v>
      </c>
      <c r="L286" s="26" t="s">
        <v>47</v>
      </c>
      <c r="M286" s="26" t="s">
        <v>54</v>
      </c>
      <c r="N286" s="26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</row>
    <row r="287" ht="15.75" customHeight="1">
      <c r="A287" s="26">
        <v>286.0</v>
      </c>
      <c r="B287" s="17">
        <v>45844.0</v>
      </c>
      <c r="C287" s="26" t="s">
        <v>866</v>
      </c>
      <c r="D287" s="26"/>
      <c r="E287" s="26"/>
      <c r="F287" s="26" t="s">
        <v>39</v>
      </c>
      <c r="G287" s="27">
        <v>2210.0</v>
      </c>
      <c r="H287" s="26"/>
      <c r="I287" s="26" t="s">
        <v>1239</v>
      </c>
      <c r="J287" s="26"/>
      <c r="K287" s="26" t="s">
        <v>603</v>
      </c>
      <c r="L287" s="26" t="s">
        <v>47</v>
      </c>
      <c r="M287" s="26" t="s">
        <v>54</v>
      </c>
      <c r="N287" s="26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</row>
    <row r="288" ht="15.75" customHeight="1">
      <c r="A288" s="26">
        <v>287.0</v>
      </c>
      <c r="B288" s="17">
        <v>45844.0</v>
      </c>
      <c r="C288" s="26" t="s">
        <v>1240</v>
      </c>
      <c r="D288" s="26"/>
      <c r="E288" s="26"/>
      <c r="F288" s="26" t="s">
        <v>39</v>
      </c>
      <c r="G288" s="27">
        <v>11000.0</v>
      </c>
      <c r="H288" s="26"/>
      <c r="I288" s="26" t="s">
        <v>1241</v>
      </c>
      <c r="J288" s="26"/>
      <c r="K288" s="26" t="s">
        <v>603</v>
      </c>
      <c r="L288" s="26" t="s">
        <v>47</v>
      </c>
      <c r="M288" s="26" t="s">
        <v>54</v>
      </c>
      <c r="N288" s="26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</row>
    <row r="289" ht="15.75" customHeight="1">
      <c r="A289" s="26">
        <v>288.0</v>
      </c>
      <c r="B289" s="17">
        <v>45844.0</v>
      </c>
      <c r="C289" s="26" t="s">
        <v>145</v>
      </c>
      <c r="D289" s="26"/>
      <c r="E289" s="26" t="s">
        <v>1242</v>
      </c>
      <c r="F289" s="26" t="s">
        <v>39</v>
      </c>
      <c r="G289" s="27">
        <v>2200.0</v>
      </c>
      <c r="H289" s="26"/>
      <c r="I289" s="26" t="s">
        <v>1243</v>
      </c>
      <c r="J289" s="26"/>
      <c r="K289" s="26" t="s">
        <v>603</v>
      </c>
      <c r="L289" s="26" t="s">
        <v>47</v>
      </c>
      <c r="M289" s="26" t="s">
        <v>54</v>
      </c>
      <c r="N289" s="26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</row>
    <row r="290" ht="15.75" customHeight="1">
      <c r="A290" s="26">
        <v>289.0</v>
      </c>
      <c r="B290" s="17">
        <v>45855.0</v>
      </c>
      <c r="C290" s="26" t="s">
        <v>1244</v>
      </c>
      <c r="D290" s="26"/>
      <c r="E290" s="26"/>
      <c r="F290" s="26" t="s">
        <v>39</v>
      </c>
      <c r="G290" s="27">
        <v>1100.0</v>
      </c>
      <c r="H290" s="26"/>
      <c r="I290" s="26" t="s">
        <v>1245</v>
      </c>
      <c r="J290" s="26"/>
      <c r="K290" s="26" t="s">
        <v>603</v>
      </c>
      <c r="L290" s="26" t="s">
        <v>47</v>
      </c>
      <c r="M290" s="26" t="s">
        <v>54</v>
      </c>
      <c r="N290" s="26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</row>
    <row r="291" ht="15.75" customHeight="1">
      <c r="A291" s="26">
        <v>290.0</v>
      </c>
      <c r="B291" s="17">
        <v>45855.0</v>
      </c>
      <c r="C291" s="26" t="s">
        <v>1246</v>
      </c>
      <c r="D291" s="26"/>
      <c r="E291" s="26" t="s">
        <v>200</v>
      </c>
      <c r="F291" s="26" t="s">
        <v>39</v>
      </c>
      <c r="G291" s="27">
        <v>200.0</v>
      </c>
      <c r="H291" s="26"/>
      <c r="I291" s="26" t="s">
        <v>1247</v>
      </c>
      <c r="J291" s="26"/>
      <c r="K291" s="26" t="s">
        <v>603</v>
      </c>
      <c r="L291" s="26" t="s">
        <v>47</v>
      </c>
      <c r="M291" s="26" t="s">
        <v>54</v>
      </c>
      <c r="N291" s="26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</row>
    <row r="292" ht="15.75" customHeight="1">
      <c r="A292" s="26">
        <v>291.0</v>
      </c>
      <c r="B292" s="17">
        <v>45847.0</v>
      </c>
      <c r="C292" s="26" t="s">
        <v>754</v>
      </c>
      <c r="D292" s="26"/>
      <c r="E292" s="26" t="s">
        <v>1248</v>
      </c>
      <c r="F292" s="26" t="s">
        <v>39</v>
      </c>
      <c r="G292" s="27">
        <v>3100.0</v>
      </c>
      <c r="H292" s="26"/>
      <c r="I292" s="26" t="s">
        <v>1249</v>
      </c>
      <c r="J292" s="26"/>
      <c r="K292" s="26" t="s">
        <v>310</v>
      </c>
      <c r="L292" s="26" t="s">
        <v>47</v>
      </c>
      <c r="M292" s="26" t="s">
        <v>313</v>
      </c>
      <c r="N292" s="26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</row>
    <row r="293" ht="15.75" customHeight="1">
      <c r="A293" s="26">
        <v>292.0</v>
      </c>
      <c r="B293" s="17">
        <v>45847.0</v>
      </c>
      <c r="C293" s="26" t="s">
        <v>1250</v>
      </c>
      <c r="D293" s="26"/>
      <c r="E293" s="26" t="s">
        <v>1251</v>
      </c>
      <c r="F293" s="26" t="s">
        <v>39</v>
      </c>
      <c r="G293" s="27">
        <v>5100.0</v>
      </c>
      <c r="H293" s="26"/>
      <c r="I293" s="26" t="s">
        <v>1252</v>
      </c>
      <c r="J293" s="26"/>
      <c r="K293" s="26" t="s">
        <v>310</v>
      </c>
      <c r="L293" s="26" t="s">
        <v>47</v>
      </c>
      <c r="M293" s="26" t="s">
        <v>313</v>
      </c>
      <c r="N293" s="26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</row>
    <row r="294" ht="15.75" customHeight="1">
      <c r="A294" s="26">
        <v>293.0</v>
      </c>
      <c r="B294" s="17">
        <v>45847.0</v>
      </c>
      <c r="C294" s="26" t="s">
        <v>1253</v>
      </c>
      <c r="D294" s="26"/>
      <c r="E294" s="26" t="s">
        <v>200</v>
      </c>
      <c r="F294" s="26" t="s">
        <v>39</v>
      </c>
      <c r="G294" s="27">
        <v>1100.0</v>
      </c>
      <c r="H294" s="26"/>
      <c r="I294" s="26" t="s">
        <v>1254</v>
      </c>
      <c r="J294" s="26"/>
      <c r="K294" s="26" t="s">
        <v>310</v>
      </c>
      <c r="L294" s="26" t="s">
        <v>47</v>
      </c>
      <c r="M294" s="26" t="s">
        <v>313</v>
      </c>
      <c r="N294" s="26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</row>
    <row r="295" ht="15.75" customHeight="1">
      <c r="A295" s="26">
        <v>294.0</v>
      </c>
      <c r="B295" s="17">
        <v>45847.0</v>
      </c>
      <c r="C295" s="26" t="s">
        <v>145</v>
      </c>
      <c r="D295" s="26"/>
      <c r="E295" s="26"/>
      <c r="F295" s="26" t="s">
        <v>39</v>
      </c>
      <c r="G295" s="27">
        <v>2100.0</v>
      </c>
      <c r="H295" s="26"/>
      <c r="I295" s="26" t="s">
        <v>1255</v>
      </c>
      <c r="J295" s="26"/>
      <c r="K295" s="26" t="s">
        <v>310</v>
      </c>
      <c r="L295" s="26" t="s">
        <v>47</v>
      </c>
      <c r="M295" s="26" t="s">
        <v>313</v>
      </c>
      <c r="N295" s="26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</row>
    <row r="296" ht="15.75" customHeight="1">
      <c r="A296" s="26">
        <v>295.0</v>
      </c>
      <c r="B296" s="17">
        <v>45847.0</v>
      </c>
      <c r="C296" s="26" t="s">
        <v>1256</v>
      </c>
      <c r="D296" s="26"/>
      <c r="E296" s="26" t="s">
        <v>1257</v>
      </c>
      <c r="F296" s="26" t="s">
        <v>39</v>
      </c>
      <c r="G296" s="27">
        <v>5100.0</v>
      </c>
      <c r="H296" s="26"/>
      <c r="I296" s="26" t="s">
        <v>1258</v>
      </c>
      <c r="J296" s="26"/>
      <c r="K296" s="26" t="s">
        <v>310</v>
      </c>
      <c r="L296" s="26" t="s">
        <v>47</v>
      </c>
      <c r="M296" s="26" t="s">
        <v>313</v>
      </c>
      <c r="N296" s="26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</row>
    <row r="297" ht="15.75" customHeight="1">
      <c r="A297" s="26">
        <v>296.0</v>
      </c>
      <c r="B297" s="17">
        <v>45852.0</v>
      </c>
      <c r="C297" s="26" t="s">
        <v>1259</v>
      </c>
      <c r="D297" s="26"/>
      <c r="E297" s="26" t="s">
        <v>1260</v>
      </c>
      <c r="F297" s="26" t="s">
        <v>39</v>
      </c>
      <c r="G297" s="27">
        <v>1100.0</v>
      </c>
      <c r="H297" s="26"/>
      <c r="I297" s="26" t="s">
        <v>1261</v>
      </c>
      <c r="J297" s="26"/>
      <c r="K297" s="26" t="s">
        <v>310</v>
      </c>
      <c r="L297" s="26" t="s">
        <v>47</v>
      </c>
      <c r="M297" s="26" t="s">
        <v>313</v>
      </c>
      <c r="N297" s="26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</row>
    <row r="298" ht="15.75" customHeight="1">
      <c r="A298" s="26">
        <v>297.0</v>
      </c>
      <c r="B298" s="17">
        <v>45852.0</v>
      </c>
      <c r="C298" s="26" t="s">
        <v>1262</v>
      </c>
      <c r="D298" s="26"/>
      <c r="E298" s="26" t="s">
        <v>1263</v>
      </c>
      <c r="F298" s="26" t="s">
        <v>39</v>
      </c>
      <c r="G298" s="27">
        <v>1100.0</v>
      </c>
      <c r="H298" s="26"/>
      <c r="I298" s="26" t="s">
        <v>1264</v>
      </c>
      <c r="J298" s="26"/>
      <c r="K298" s="26" t="s">
        <v>310</v>
      </c>
      <c r="L298" s="26" t="s">
        <v>47</v>
      </c>
      <c r="M298" s="26" t="s">
        <v>313</v>
      </c>
      <c r="N298" s="26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</row>
    <row r="299" ht="15.75" customHeight="1">
      <c r="A299" s="26">
        <v>298.0</v>
      </c>
      <c r="B299" s="17">
        <v>45854.0</v>
      </c>
      <c r="C299" s="26" t="s">
        <v>1265</v>
      </c>
      <c r="D299" s="26"/>
      <c r="E299" s="26" t="s">
        <v>390</v>
      </c>
      <c r="F299" s="26" t="s">
        <v>39</v>
      </c>
      <c r="G299" s="27">
        <v>5200.0</v>
      </c>
      <c r="H299" s="26"/>
      <c r="I299" s="26" t="s">
        <v>1266</v>
      </c>
      <c r="J299" s="26"/>
      <c r="K299" s="26" t="s">
        <v>310</v>
      </c>
      <c r="L299" s="26" t="s">
        <v>47</v>
      </c>
      <c r="M299" s="26" t="s">
        <v>313</v>
      </c>
      <c r="N299" s="26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</row>
    <row r="300" ht="15.75" customHeight="1">
      <c r="A300" s="26">
        <v>299.0</v>
      </c>
      <c r="B300" s="17">
        <v>45854.0</v>
      </c>
      <c r="C300" s="26" t="s">
        <v>1267</v>
      </c>
      <c r="D300" s="26"/>
      <c r="E300" s="26"/>
      <c r="F300" s="26" t="s">
        <v>39</v>
      </c>
      <c r="G300" s="27">
        <v>5100.0</v>
      </c>
      <c r="H300" s="26"/>
      <c r="I300" s="26" t="s">
        <v>1268</v>
      </c>
      <c r="J300" s="26"/>
      <c r="K300" s="26" t="s">
        <v>310</v>
      </c>
      <c r="L300" s="26" t="s">
        <v>47</v>
      </c>
      <c r="M300" s="26" t="s">
        <v>313</v>
      </c>
      <c r="N300" s="26" t="s">
        <v>1269</v>
      </c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</row>
    <row r="301" ht="15.75" customHeight="1">
      <c r="A301" s="26">
        <v>300.0</v>
      </c>
      <c r="B301" s="17">
        <v>45854.0</v>
      </c>
      <c r="C301" s="26" t="s">
        <v>145</v>
      </c>
      <c r="D301" s="26">
        <v>9.463968932E9</v>
      </c>
      <c r="E301" s="26" t="s">
        <v>200</v>
      </c>
      <c r="F301" s="26" t="s">
        <v>39</v>
      </c>
      <c r="G301" s="27">
        <v>3100.0</v>
      </c>
      <c r="H301" s="26"/>
      <c r="I301" s="26" t="s">
        <v>1270</v>
      </c>
      <c r="J301" s="26"/>
      <c r="K301" s="26" t="s">
        <v>310</v>
      </c>
      <c r="L301" s="26" t="s">
        <v>47</v>
      </c>
      <c r="M301" s="26" t="s">
        <v>313</v>
      </c>
      <c r="N301" s="26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</row>
    <row r="302" ht="15.75" customHeight="1">
      <c r="A302" s="26">
        <v>301.0</v>
      </c>
      <c r="B302" s="17">
        <v>45856.0</v>
      </c>
      <c r="C302" s="26" t="s">
        <v>1271</v>
      </c>
      <c r="D302" s="26"/>
      <c r="E302" s="26" t="s">
        <v>1272</v>
      </c>
      <c r="F302" s="26" t="s">
        <v>39</v>
      </c>
      <c r="G302" s="27">
        <v>1100.0</v>
      </c>
      <c r="H302" s="26"/>
      <c r="I302" s="26" t="s">
        <v>1273</v>
      </c>
      <c r="J302" s="26"/>
      <c r="K302" s="26" t="s">
        <v>310</v>
      </c>
      <c r="L302" s="26" t="s">
        <v>47</v>
      </c>
      <c r="M302" s="26" t="s">
        <v>313</v>
      </c>
      <c r="N302" s="26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</row>
    <row r="303" ht="15.75" customHeight="1">
      <c r="A303" s="26">
        <v>302.0</v>
      </c>
      <c r="B303" s="17">
        <v>45859.0</v>
      </c>
      <c r="C303" s="26" t="s">
        <v>1274</v>
      </c>
      <c r="D303" s="26">
        <v>9.463968932E9</v>
      </c>
      <c r="E303" s="26" t="s">
        <v>200</v>
      </c>
      <c r="F303" s="26" t="s">
        <v>39</v>
      </c>
      <c r="G303" s="27">
        <v>3100.0</v>
      </c>
      <c r="H303" s="26"/>
      <c r="I303" s="26" t="s">
        <v>1275</v>
      </c>
      <c r="J303" s="26"/>
      <c r="K303" s="26" t="s">
        <v>310</v>
      </c>
      <c r="L303" s="26" t="s">
        <v>47</v>
      </c>
      <c r="M303" s="26" t="s">
        <v>313</v>
      </c>
      <c r="N303" s="26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</row>
    <row r="304" ht="15.75" customHeight="1">
      <c r="A304" s="26">
        <v>303.0</v>
      </c>
      <c r="B304" s="17">
        <v>45859.0</v>
      </c>
      <c r="C304" s="26" t="s">
        <v>1276</v>
      </c>
      <c r="D304" s="26"/>
      <c r="E304" s="26" t="s">
        <v>200</v>
      </c>
      <c r="F304" s="26" t="s">
        <v>39</v>
      </c>
      <c r="G304" s="27">
        <v>2100.0</v>
      </c>
      <c r="H304" s="26"/>
      <c r="I304" s="26" t="s">
        <v>1277</v>
      </c>
      <c r="J304" s="26"/>
      <c r="K304" s="26" t="s">
        <v>310</v>
      </c>
      <c r="L304" s="26" t="s">
        <v>47</v>
      </c>
      <c r="M304" s="26" t="s">
        <v>313</v>
      </c>
      <c r="N304" s="26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</row>
    <row r="305" ht="15.75" customHeight="1">
      <c r="A305" s="26">
        <v>304.0</v>
      </c>
      <c r="B305" s="17">
        <v>45862.0</v>
      </c>
      <c r="C305" s="26" t="s">
        <v>145</v>
      </c>
      <c r="D305" s="26"/>
      <c r="E305" s="26"/>
      <c r="F305" s="26" t="s">
        <v>39</v>
      </c>
      <c r="G305" s="27">
        <v>11000.0</v>
      </c>
      <c r="H305" s="26"/>
      <c r="I305" s="26" t="s">
        <v>1278</v>
      </c>
      <c r="J305" s="26"/>
      <c r="K305" s="26" t="s">
        <v>310</v>
      </c>
      <c r="L305" s="26" t="s">
        <v>47</v>
      </c>
      <c r="M305" s="26" t="s">
        <v>313</v>
      </c>
      <c r="N305" s="26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</row>
    <row r="306" ht="15.75" customHeight="1">
      <c r="A306" s="26">
        <v>305.0</v>
      </c>
      <c r="B306" s="17">
        <v>45862.0</v>
      </c>
      <c r="C306" s="26" t="s">
        <v>1279</v>
      </c>
      <c r="D306" s="26"/>
      <c r="E306" s="26"/>
      <c r="F306" s="26" t="s">
        <v>39</v>
      </c>
      <c r="G306" s="27">
        <v>1100.0</v>
      </c>
      <c r="H306" s="26"/>
      <c r="I306" s="26" t="s">
        <v>1280</v>
      </c>
      <c r="J306" s="26"/>
      <c r="K306" s="26" t="s">
        <v>310</v>
      </c>
      <c r="L306" s="26" t="s">
        <v>47</v>
      </c>
      <c r="M306" s="26" t="s">
        <v>313</v>
      </c>
      <c r="N306" s="26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</row>
    <row r="307" ht="15.75" customHeight="1">
      <c r="A307" s="26">
        <v>306.0</v>
      </c>
      <c r="B307" s="17">
        <v>45862.0</v>
      </c>
      <c r="C307" s="26" t="s">
        <v>1281</v>
      </c>
      <c r="D307" s="26">
        <v>9.41642054E8</v>
      </c>
      <c r="E307" s="26" t="s">
        <v>1282</v>
      </c>
      <c r="F307" s="26" t="s">
        <v>39</v>
      </c>
      <c r="G307" s="27">
        <v>5100.0</v>
      </c>
      <c r="H307" s="26"/>
      <c r="I307" s="26" t="s">
        <v>1283</v>
      </c>
      <c r="J307" s="26"/>
      <c r="K307" s="26" t="s">
        <v>310</v>
      </c>
      <c r="L307" s="26" t="s">
        <v>47</v>
      </c>
      <c r="M307" s="26" t="s">
        <v>313</v>
      </c>
      <c r="N307" s="26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</row>
    <row r="308" ht="15.75" customHeight="1">
      <c r="A308" s="26">
        <v>307.0</v>
      </c>
      <c r="B308" s="17">
        <v>45854.0</v>
      </c>
      <c r="C308" s="26" t="s">
        <v>1284</v>
      </c>
      <c r="D308" s="26"/>
      <c r="E308" s="26" t="s">
        <v>1285</v>
      </c>
      <c r="F308" s="26" t="s">
        <v>39</v>
      </c>
      <c r="G308" s="27">
        <v>2100.0</v>
      </c>
      <c r="H308" s="26"/>
      <c r="I308" s="26" t="s">
        <v>501</v>
      </c>
      <c r="J308" s="26"/>
      <c r="K308" s="26" t="s">
        <v>45</v>
      </c>
      <c r="L308" s="26" t="s">
        <v>47</v>
      </c>
      <c r="M308" s="26" t="s">
        <v>61</v>
      </c>
      <c r="N308" s="26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</row>
    <row r="309" ht="15.75" customHeight="1">
      <c r="A309" s="26">
        <v>308.0</v>
      </c>
      <c r="B309" s="17">
        <v>45857.0</v>
      </c>
      <c r="C309" s="26" t="s">
        <v>866</v>
      </c>
      <c r="D309" s="26"/>
      <c r="E309" s="26"/>
      <c r="F309" s="26" t="s">
        <v>39</v>
      </c>
      <c r="G309" s="27">
        <v>11836.0</v>
      </c>
      <c r="H309" s="26"/>
      <c r="I309" s="26" t="s">
        <v>504</v>
      </c>
      <c r="J309" s="26"/>
      <c r="K309" s="26" t="s">
        <v>866</v>
      </c>
      <c r="L309" s="26" t="s">
        <v>47</v>
      </c>
      <c r="M309" s="26" t="s">
        <v>866</v>
      </c>
      <c r="N309" s="26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</row>
    <row r="310" ht="15.75" customHeight="1">
      <c r="A310" s="26">
        <v>309.0</v>
      </c>
      <c r="B310" s="17">
        <v>45859.0</v>
      </c>
      <c r="C310" s="26" t="s">
        <v>1286</v>
      </c>
      <c r="D310" s="26"/>
      <c r="E310" s="26" t="s">
        <v>200</v>
      </c>
      <c r="F310" s="26" t="s">
        <v>39</v>
      </c>
      <c r="G310" s="27">
        <v>3200.0</v>
      </c>
      <c r="H310" s="26"/>
      <c r="I310" s="26" t="s">
        <v>508</v>
      </c>
      <c r="J310" s="26"/>
      <c r="K310" s="26" t="s">
        <v>45</v>
      </c>
      <c r="L310" s="26" t="s">
        <v>47</v>
      </c>
      <c r="M310" s="26" t="s">
        <v>61</v>
      </c>
      <c r="N310" s="26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</row>
    <row r="311" ht="15.75" customHeight="1">
      <c r="A311" s="26">
        <v>310.0</v>
      </c>
      <c r="B311" s="17">
        <v>45847.0</v>
      </c>
      <c r="C311" s="26" t="s">
        <v>305</v>
      </c>
      <c r="D311" s="26"/>
      <c r="E311" s="26" t="s">
        <v>1287</v>
      </c>
      <c r="F311" s="26" t="s">
        <v>39</v>
      </c>
      <c r="G311" s="27">
        <v>2100.0</v>
      </c>
      <c r="H311" s="26"/>
      <c r="I311" s="26" t="s">
        <v>1288</v>
      </c>
      <c r="J311" s="26"/>
      <c r="K311" s="26" t="s">
        <v>764</v>
      </c>
      <c r="L311" s="26" t="s">
        <v>47</v>
      </c>
      <c r="M311" s="26" t="s">
        <v>171</v>
      </c>
      <c r="N311" s="26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</row>
    <row r="312" ht="15.75" customHeight="1">
      <c r="A312" s="26">
        <v>311.0</v>
      </c>
      <c r="B312" s="17">
        <v>45847.0</v>
      </c>
      <c r="C312" s="26" t="s">
        <v>1289</v>
      </c>
      <c r="D312" s="26"/>
      <c r="E312" s="26" t="s">
        <v>1290</v>
      </c>
      <c r="F312" s="26" t="s">
        <v>39</v>
      </c>
      <c r="G312" s="27">
        <v>11000.0</v>
      </c>
      <c r="H312" s="26"/>
      <c r="I312" s="26" t="s">
        <v>1291</v>
      </c>
      <c r="J312" s="26"/>
      <c r="K312" s="26" t="s">
        <v>764</v>
      </c>
      <c r="L312" s="26" t="s">
        <v>47</v>
      </c>
      <c r="M312" s="26" t="s">
        <v>171</v>
      </c>
      <c r="N312" s="26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</row>
    <row r="313" ht="15.75" customHeight="1">
      <c r="A313" s="26">
        <v>312.0</v>
      </c>
      <c r="B313" s="17">
        <v>45847.0</v>
      </c>
      <c r="C313" s="26" t="s">
        <v>1292</v>
      </c>
      <c r="D313" s="26"/>
      <c r="E313" s="26" t="s">
        <v>1293</v>
      </c>
      <c r="F313" s="26" t="s">
        <v>39</v>
      </c>
      <c r="G313" s="27">
        <v>1100.0</v>
      </c>
      <c r="H313" s="26"/>
      <c r="I313" s="26" t="s">
        <v>1294</v>
      </c>
      <c r="J313" s="26"/>
      <c r="K313" s="26" t="s">
        <v>764</v>
      </c>
      <c r="L313" s="26" t="s">
        <v>47</v>
      </c>
      <c r="M313" s="26" t="s">
        <v>171</v>
      </c>
      <c r="N313" s="26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</row>
    <row r="314" ht="15.75" customHeight="1">
      <c r="A314" s="26">
        <v>313.0</v>
      </c>
      <c r="B314" s="17">
        <v>45847.0</v>
      </c>
      <c r="C314" s="26" t="s">
        <v>1295</v>
      </c>
      <c r="D314" s="26"/>
      <c r="E314" s="26" t="s">
        <v>200</v>
      </c>
      <c r="F314" s="26" t="s">
        <v>39</v>
      </c>
      <c r="G314" s="27">
        <v>500.0</v>
      </c>
      <c r="H314" s="26"/>
      <c r="I314" s="26" t="s">
        <v>1296</v>
      </c>
      <c r="J314" s="26"/>
      <c r="K314" s="26" t="s">
        <v>764</v>
      </c>
      <c r="L314" s="26" t="s">
        <v>47</v>
      </c>
      <c r="M314" s="26" t="s">
        <v>171</v>
      </c>
      <c r="N314" s="26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</row>
    <row r="315" ht="15.75" customHeight="1">
      <c r="A315" s="26">
        <v>314.0</v>
      </c>
      <c r="B315" s="17">
        <v>45847.0</v>
      </c>
      <c r="C315" s="26" t="s">
        <v>1297</v>
      </c>
      <c r="D315" s="26"/>
      <c r="E315" s="26" t="s">
        <v>1023</v>
      </c>
      <c r="F315" s="26" t="s">
        <v>39</v>
      </c>
      <c r="G315" s="27">
        <v>5100.0</v>
      </c>
      <c r="H315" s="26"/>
      <c r="I315" s="26" t="s">
        <v>1298</v>
      </c>
      <c r="J315" s="26"/>
      <c r="K315" s="26" t="s">
        <v>764</v>
      </c>
      <c r="L315" s="26" t="s">
        <v>47</v>
      </c>
      <c r="M315" s="26" t="s">
        <v>171</v>
      </c>
      <c r="N315" s="26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</row>
    <row r="316" ht="15.75" customHeight="1">
      <c r="A316" s="26">
        <v>315.0</v>
      </c>
      <c r="B316" s="17">
        <v>45849.0</v>
      </c>
      <c r="C316" s="26" t="s">
        <v>1299</v>
      </c>
      <c r="D316" s="26"/>
      <c r="E316" s="26" t="s">
        <v>1300</v>
      </c>
      <c r="F316" s="26" t="s">
        <v>39</v>
      </c>
      <c r="G316" s="27">
        <v>5100.0</v>
      </c>
      <c r="H316" s="26"/>
      <c r="I316" s="33" t="s">
        <v>1301</v>
      </c>
      <c r="J316" s="26"/>
      <c r="K316" s="26" t="s">
        <v>764</v>
      </c>
      <c r="L316" s="26" t="s">
        <v>47</v>
      </c>
      <c r="M316" s="26" t="s">
        <v>171</v>
      </c>
      <c r="N316" s="26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</row>
    <row r="317" ht="15.75" customHeight="1">
      <c r="A317" s="26">
        <v>316.0</v>
      </c>
      <c r="B317" s="17">
        <v>45852.0</v>
      </c>
      <c r="C317" s="26" t="s">
        <v>1302</v>
      </c>
      <c r="D317" s="26"/>
      <c r="E317" s="26"/>
      <c r="F317" s="26" t="s">
        <v>39</v>
      </c>
      <c r="G317" s="27">
        <v>500.0</v>
      </c>
      <c r="H317" s="26"/>
      <c r="I317" s="26" t="s">
        <v>1303</v>
      </c>
      <c r="J317" s="26"/>
      <c r="K317" s="26" t="s">
        <v>764</v>
      </c>
      <c r="L317" s="26" t="s">
        <v>47</v>
      </c>
      <c r="M317" s="26" t="s">
        <v>171</v>
      </c>
      <c r="N317" s="26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</row>
    <row r="318" ht="15.75" customHeight="1">
      <c r="A318" s="26">
        <v>317.0</v>
      </c>
      <c r="B318" s="17">
        <v>45852.0</v>
      </c>
      <c r="C318" s="26" t="s">
        <v>1304</v>
      </c>
      <c r="D318" s="26"/>
      <c r="E318" s="26" t="s">
        <v>200</v>
      </c>
      <c r="F318" s="26" t="s">
        <v>39</v>
      </c>
      <c r="G318" s="27">
        <v>1500.0</v>
      </c>
      <c r="H318" s="26"/>
      <c r="I318" s="26" t="s">
        <v>1305</v>
      </c>
      <c r="J318" s="26"/>
      <c r="K318" s="26" t="s">
        <v>764</v>
      </c>
      <c r="L318" s="26" t="s">
        <v>47</v>
      </c>
      <c r="M318" s="26" t="s">
        <v>171</v>
      </c>
      <c r="N318" s="26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</row>
    <row r="319" ht="15.75" customHeight="1">
      <c r="A319" s="26">
        <v>318.0</v>
      </c>
      <c r="B319" s="17">
        <v>45855.0</v>
      </c>
      <c r="C319" s="26" t="s">
        <v>1306</v>
      </c>
      <c r="D319" s="26"/>
      <c r="E319" s="26" t="s">
        <v>200</v>
      </c>
      <c r="F319" s="26" t="s">
        <v>117</v>
      </c>
      <c r="G319" s="27">
        <v>5100.0</v>
      </c>
      <c r="H319" s="26"/>
      <c r="I319" s="26" t="s">
        <v>1307</v>
      </c>
      <c r="J319" s="26"/>
      <c r="K319" s="26" t="s">
        <v>603</v>
      </c>
      <c r="L319" s="26" t="s">
        <v>47</v>
      </c>
      <c r="M319" s="26" t="s">
        <v>171</v>
      </c>
      <c r="N319" s="26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</row>
    <row r="320" ht="15.75" customHeight="1">
      <c r="A320" s="26">
        <v>319.0</v>
      </c>
      <c r="B320" s="17">
        <v>45855.0</v>
      </c>
      <c r="C320" s="26" t="s">
        <v>1308</v>
      </c>
      <c r="D320" s="26"/>
      <c r="E320" s="26" t="s">
        <v>200</v>
      </c>
      <c r="F320" s="26" t="s">
        <v>117</v>
      </c>
      <c r="G320" s="27">
        <v>1100.0</v>
      </c>
      <c r="H320" s="26"/>
      <c r="I320" s="26" t="s">
        <v>1309</v>
      </c>
      <c r="J320" s="26"/>
      <c r="K320" s="26" t="s">
        <v>603</v>
      </c>
      <c r="L320" s="26" t="s">
        <v>47</v>
      </c>
      <c r="M320" s="26" t="s">
        <v>171</v>
      </c>
      <c r="N320" s="26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</row>
    <row r="321" ht="15.75" customHeight="1">
      <c r="A321" s="26">
        <v>320.0</v>
      </c>
      <c r="B321" s="17">
        <v>45855.0</v>
      </c>
      <c r="C321" s="26" t="s">
        <v>1310</v>
      </c>
      <c r="D321" s="26"/>
      <c r="E321" s="26" t="s">
        <v>200</v>
      </c>
      <c r="F321" s="26" t="s">
        <v>117</v>
      </c>
      <c r="G321" s="27">
        <v>1100.0</v>
      </c>
      <c r="H321" s="26"/>
      <c r="I321" s="26" t="s">
        <v>1311</v>
      </c>
      <c r="J321" s="26"/>
      <c r="K321" s="26" t="s">
        <v>603</v>
      </c>
      <c r="L321" s="26" t="s">
        <v>47</v>
      </c>
      <c r="M321" s="26" t="s">
        <v>171</v>
      </c>
      <c r="N321" s="26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</row>
    <row r="322" ht="15.75" customHeight="1">
      <c r="A322" s="26">
        <v>321.0</v>
      </c>
      <c r="B322" s="17">
        <v>45856.0</v>
      </c>
      <c r="C322" s="26" t="s">
        <v>1312</v>
      </c>
      <c r="D322" s="26"/>
      <c r="E322" s="26" t="s">
        <v>200</v>
      </c>
      <c r="F322" s="26" t="s">
        <v>39</v>
      </c>
      <c r="G322" s="27">
        <v>7000.0</v>
      </c>
      <c r="H322" s="26"/>
      <c r="I322" s="26" t="s">
        <v>1313</v>
      </c>
      <c r="J322" s="26"/>
      <c r="K322" s="26" t="s">
        <v>764</v>
      </c>
      <c r="L322" s="26" t="s">
        <v>47</v>
      </c>
      <c r="M322" s="26" t="s">
        <v>171</v>
      </c>
      <c r="N322" s="26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</row>
    <row r="323" ht="15.75" customHeight="1">
      <c r="A323" s="26">
        <v>322.0</v>
      </c>
      <c r="B323" s="17">
        <v>45856.0</v>
      </c>
      <c r="C323" s="26" t="s">
        <v>198</v>
      </c>
      <c r="D323" s="26"/>
      <c r="E323" s="26" t="s">
        <v>200</v>
      </c>
      <c r="F323" s="26" t="s">
        <v>39</v>
      </c>
      <c r="G323" s="27">
        <v>11000.0</v>
      </c>
      <c r="H323" s="26"/>
      <c r="I323" s="26" t="s">
        <v>1314</v>
      </c>
      <c r="J323" s="26"/>
      <c r="K323" s="26" t="s">
        <v>764</v>
      </c>
      <c r="L323" s="26" t="s">
        <v>47</v>
      </c>
      <c r="M323" s="26" t="s">
        <v>171</v>
      </c>
      <c r="N323" s="26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</row>
    <row r="324" ht="15.75" customHeight="1">
      <c r="A324" s="26">
        <v>323.0</v>
      </c>
      <c r="B324" s="17">
        <v>45856.0</v>
      </c>
      <c r="C324" s="26" t="s">
        <v>1315</v>
      </c>
      <c r="D324" s="26"/>
      <c r="E324" s="26" t="s">
        <v>200</v>
      </c>
      <c r="F324" s="26" t="s">
        <v>39</v>
      </c>
      <c r="G324" s="27">
        <v>11000.0</v>
      </c>
      <c r="H324" s="26"/>
      <c r="I324" s="26" t="s">
        <v>1316</v>
      </c>
      <c r="J324" s="26"/>
      <c r="K324" s="26" t="s">
        <v>764</v>
      </c>
      <c r="L324" s="26" t="s">
        <v>47</v>
      </c>
      <c r="M324" s="26" t="s">
        <v>171</v>
      </c>
      <c r="N324" s="26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</row>
    <row r="325" ht="15.75" customHeight="1">
      <c r="A325" s="26">
        <v>324.0</v>
      </c>
      <c r="B325" s="17">
        <v>45861.0</v>
      </c>
      <c r="C325" s="26" t="s">
        <v>1317</v>
      </c>
      <c r="D325" s="26">
        <v>8.69984374E9</v>
      </c>
      <c r="E325" s="26" t="s">
        <v>1318</v>
      </c>
      <c r="F325" s="26" t="s">
        <v>117</v>
      </c>
      <c r="G325" s="27">
        <v>3600.0</v>
      </c>
      <c r="H325" s="26"/>
      <c r="I325" s="26" t="s">
        <v>1319</v>
      </c>
      <c r="J325" s="26"/>
      <c r="K325" s="26" t="s">
        <v>603</v>
      </c>
      <c r="L325" s="26" t="s">
        <v>47</v>
      </c>
      <c r="M325" s="26" t="s">
        <v>171</v>
      </c>
      <c r="N325" s="26" t="s">
        <v>1320</v>
      </c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</row>
    <row r="326" ht="15.75" customHeight="1">
      <c r="A326" s="26">
        <v>325.0</v>
      </c>
      <c r="B326" s="17">
        <v>45862.0</v>
      </c>
      <c r="C326" s="26" t="s">
        <v>1321</v>
      </c>
      <c r="D326" s="26"/>
      <c r="E326" s="26"/>
      <c r="F326" s="26" t="s">
        <v>39</v>
      </c>
      <c r="G326" s="27">
        <v>501.0</v>
      </c>
      <c r="H326" s="26"/>
      <c r="I326" s="26" t="s">
        <v>1322</v>
      </c>
      <c r="J326" s="26"/>
      <c r="K326" s="26" t="s">
        <v>764</v>
      </c>
      <c r="L326" s="26" t="s">
        <v>47</v>
      </c>
      <c r="M326" s="26" t="s">
        <v>171</v>
      </c>
      <c r="N326" s="26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</row>
    <row r="327" ht="15.75" customHeight="1">
      <c r="A327" s="26">
        <v>326.0</v>
      </c>
      <c r="B327" s="17">
        <v>45862.0</v>
      </c>
      <c r="C327" s="26" t="s">
        <v>145</v>
      </c>
      <c r="D327" s="26"/>
      <c r="E327" s="26" t="s">
        <v>1323</v>
      </c>
      <c r="F327" s="26" t="s">
        <v>39</v>
      </c>
      <c r="G327" s="27">
        <v>2500.0</v>
      </c>
      <c r="H327" s="26"/>
      <c r="I327" s="26" t="s">
        <v>1324</v>
      </c>
      <c r="J327" s="26"/>
      <c r="K327" s="26" t="s">
        <v>764</v>
      </c>
      <c r="L327" s="26" t="s">
        <v>47</v>
      </c>
      <c r="M327" s="26" t="s">
        <v>171</v>
      </c>
      <c r="N327" s="26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</row>
    <row r="328" ht="15.75" customHeight="1">
      <c r="A328" s="26">
        <v>327.0</v>
      </c>
      <c r="B328" s="17">
        <v>45862.0</v>
      </c>
      <c r="C328" s="26" t="s">
        <v>1325</v>
      </c>
      <c r="D328" s="26"/>
      <c r="E328" s="26"/>
      <c r="F328" s="26" t="s">
        <v>39</v>
      </c>
      <c r="G328" s="27">
        <v>5100.0</v>
      </c>
      <c r="H328" s="26"/>
      <c r="I328" s="26" t="s">
        <v>1326</v>
      </c>
      <c r="J328" s="26"/>
      <c r="K328" s="26" t="s">
        <v>764</v>
      </c>
      <c r="L328" s="26" t="s">
        <v>47</v>
      </c>
      <c r="M328" s="26" t="s">
        <v>171</v>
      </c>
      <c r="N328" s="26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</row>
    <row r="329" ht="15.75" customHeight="1">
      <c r="A329" s="26">
        <v>328.0</v>
      </c>
      <c r="B329" s="17">
        <v>45862.0</v>
      </c>
      <c r="C329" s="26" t="s">
        <v>1327</v>
      </c>
      <c r="D329" s="26"/>
      <c r="E329" s="26" t="s">
        <v>1328</v>
      </c>
      <c r="F329" s="26" t="s">
        <v>39</v>
      </c>
      <c r="G329" s="27">
        <v>2500.0</v>
      </c>
      <c r="H329" s="26"/>
      <c r="I329" s="26" t="s">
        <v>1329</v>
      </c>
      <c r="J329" s="26"/>
      <c r="K329" s="26" t="s">
        <v>764</v>
      </c>
      <c r="L329" s="26" t="s">
        <v>47</v>
      </c>
      <c r="M329" s="26" t="s">
        <v>171</v>
      </c>
      <c r="N329" s="26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</row>
    <row r="330" ht="15.75" customHeight="1">
      <c r="A330" s="26">
        <v>329.0</v>
      </c>
      <c r="B330" s="17">
        <v>45866.0</v>
      </c>
      <c r="C330" s="26" t="s">
        <v>1330</v>
      </c>
      <c r="D330" s="26"/>
      <c r="E330" s="26" t="s">
        <v>1331</v>
      </c>
      <c r="F330" s="26" t="s">
        <v>39</v>
      </c>
      <c r="G330" s="27">
        <v>2100.0</v>
      </c>
      <c r="H330" s="26"/>
      <c r="I330" s="26" t="s">
        <v>1332</v>
      </c>
      <c r="J330" s="26"/>
      <c r="K330" s="26" t="s">
        <v>603</v>
      </c>
      <c r="L330" s="26" t="s">
        <v>47</v>
      </c>
      <c r="M330" s="26" t="s">
        <v>54</v>
      </c>
      <c r="N330" s="26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</row>
    <row r="331" ht="15.75" customHeight="1">
      <c r="A331" s="26">
        <v>330.0</v>
      </c>
      <c r="B331" s="17">
        <v>45866.0</v>
      </c>
      <c r="C331" s="26" t="s">
        <v>1333</v>
      </c>
      <c r="D331" s="26"/>
      <c r="E331" s="26" t="s">
        <v>1334</v>
      </c>
      <c r="F331" s="26" t="s">
        <v>39</v>
      </c>
      <c r="G331" s="27">
        <v>2100.0</v>
      </c>
      <c r="H331" s="26"/>
      <c r="I331" s="26" t="s">
        <v>1335</v>
      </c>
      <c r="J331" s="26"/>
      <c r="K331" s="26" t="s">
        <v>603</v>
      </c>
      <c r="L331" s="26" t="s">
        <v>47</v>
      </c>
      <c r="M331" s="26" t="s">
        <v>54</v>
      </c>
      <c r="N331" s="26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</row>
    <row r="332" ht="15.75" customHeight="1">
      <c r="A332" s="26">
        <v>331.0</v>
      </c>
      <c r="B332" s="17">
        <v>45862.0</v>
      </c>
      <c r="C332" s="26" t="s">
        <v>866</v>
      </c>
      <c r="D332" s="26"/>
      <c r="E332" s="26"/>
      <c r="F332" s="26" t="s">
        <v>39</v>
      </c>
      <c r="G332" s="27">
        <v>13775.0</v>
      </c>
      <c r="H332" s="26"/>
      <c r="I332" s="26" t="s">
        <v>1336</v>
      </c>
      <c r="J332" s="26"/>
      <c r="K332" s="26" t="s">
        <v>866</v>
      </c>
      <c r="L332" s="26" t="s">
        <v>47</v>
      </c>
      <c r="M332" s="26" t="s">
        <v>866</v>
      </c>
      <c r="N332" s="26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</row>
    <row r="333" ht="15.75" customHeight="1">
      <c r="A333" s="26">
        <v>332.0</v>
      </c>
      <c r="B333" s="17">
        <v>45867.0</v>
      </c>
      <c r="C333" s="26" t="s">
        <v>1337</v>
      </c>
      <c r="D333" s="26"/>
      <c r="E333" s="26" t="s">
        <v>200</v>
      </c>
      <c r="F333" s="26" t="s">
        <v>39</v>
      </c>
      <c r="G333" s="27">
        <v>21000.0</v>
      </c>
      <c r="H333" s="26"/>
      <c r="I333" s="26" t="s">
        <v>1338</v>
      </c>
      <c r="J333" s="26"/>
      <c r="K333" s="26" t="s">
        <v>603</v>
      </c>
      <c r="L333" s="26" t="s">
        <v>47</v>
      </c>
      <c r="M333" s="26" t="s">
        <v>121</v>
      </c>
      <c r="N333" s="26" t="s">
        <v>1339</v>
      </c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</row>
    <row r="334" ht="15.75" customHeight="1">
      <c r="A334" s="26">
        <v>333.0</v>
      </c>
      <c r="B334" s="17">
        <v>45872.0</v>
      </c>
      <c r="C334" s="26" t="s">
        <v>1340</v>
      </c>
      <c r="D334" s="26"/>
      <c r="E334" s="26" t="s">
        <v>1341</v>
      </c>
      <c r="F334" s="26" t="s">
        <v>39</v>
      </c>
      <c r="G334" s="27">
        <v>5100.0</v>
      </c>
      <c r="H334" s="26"/>
      <c r="I334" s="26" t="s">
        <v>1342</v>
      </c>
      <c r="J334" s="26"/>
      <c r="K334" s="26" t="s">
        <v>73</v>
      </c>
      <c r="L334" s="26" t="s">
        <v>47</v>
      </c>
      <c r="M334" s="26" t="s">
        <v>121</v>
      </c>
      <c r="N334" s="26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</row>
    <row r="335" ht="15.75" customHeight="1">
      <c r="A335" s="26">
        <v>334.0</v>
      </c>
      <c r="B335" s="17">
        <v>45869.0</v>
      </c>
      <c r="C335" s="26" t="s">
        <v>866</v>
      </c>
      <c r="D335" s="26"/>
      <c r="E335" s="26"/>
      <c r="F335" s="26" t="s">
        <v>39</v>
      </c>
      <c r="G335" s="27">
        <v>9016.0</v>
      </c>
      <c r="H335" s="26"/>
      <c r="I335" s="26" t="s">
        <v>1343</v>
      </c>
      <c r="J335" s="26"/>
      <c r="K335" s="26" t="s">
        <v>45</v>
      </c>
      <c r="L335" s="26" t="s">
        <v>47</v>
      </c>
      <c r="M335" s="26" t="s">
        <v>866</v>
      </c>
      <c r="N335" s="26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</row>
    <row r="336" ht="15.75" customHeight="1">
      <c r="A336" s="26">
        <v>335.0</v>
      </c>
      <c r="B336" s="17">
        <v>45875.0</v>
      </c>
      <c r="C336" s="26" t="s">
        <v>1344</v>
      </c>
      <c r="D336" s="26">
        <v>9.98878572E9</v>
      </c>
      <c r="E336" s="26" t="s">
        <v>1345</v>
      </c>
      <c r="F336" s="26" t="s">
        <v>39</v>
      </c>
      <c r="G336" s="27">
        <v>11000.0</v>
      </c>
      <c r="H336" s="26"/>
      <c r="I336" s="26" t="s">
        <v>1346</v>
      </c>
      <c r="J336" s="26"/>
      <c r="K336" s="26" t="s">
        <v>45</v>
      </c>
      <c r="L336" s="26" t="s">
        <v>47</v>
      </c>
      <c r="M336" s="26" t="s">
        <v>61</v>
      </c>
      <c r="N336" s="26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</row>
    <row r="337" ht="15.75" customHeight="1">
      <c r="A337" s="26">
        <v>336.0</v>
      </c>
      <c r="B337" s="17">
        <v>45877.0</v>
      </c>
      <c r="C337" s="26" t="s">
        <v>1347</v>
      </c>
      <c r="D337" s="26"/>
      <c r="E337" s="26" t="s">
        <v>1348</v>
      </c>
      <c r="F337" s="26" t="s">
        <v>39</v>
      </c>
      <c r="G337" s="27">
        <v>1100.0</v>
      </c>
      <c r="H337" s="26"/>
      <c r="I337" s="26" t="s">
        <v>1349</v>
      </c>
      <c r="J337" s="26"/>
      <c r="K337" s="26" t="s">
        <v>73</v>
      </c>
      <c r="L337" s="26" t="s">
        <v>47</v>
      </c>
      <c r="M337" s="26" t="s">
        <v>61</v>
      </c>
      <c r="N337" s="26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</row>
    <row r="338" ht="15.75" customHeight="1">
      <c r="A338" s="26">
        <v>337.0</v>
      </c>
      <c r="B338" s="17">
        <v>45879.0</v>
      </c>
      <c r="C338" s="26" t="s">
        <v>866</v>
      </c>
      <c r="D338" s="26"/>
      <c r="E338" s="26"/>
      <c r="F338" s="26" t="s">
        <v>39</v>
      </c>
      <c r="G338" s="27">
        <v>17938.0</v>
      </c>
      <c r="H338" s="26"/>
      <c r="I338" s="26" t="s">
        <v>1350</v>
      </c>
      <c r="J338" s="26"/>
      <c r="K338" s="26" t="s">
        <v>45</v>
      </c>
      <c r="L338" s="26" t="s">
        <v>47</v>
      </c>
      <c r="M338" s="26" t="s">
        <v>61</v>
      </c>
      <c r="N338" s="26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</row>
    <row r="339" ht="15.75" customHeight="1">
      <c r="A339" s="26">
        <v>338.0</v>
      </c>
      <c r="B339" s="17">
        <v>45880.0</v>
      </c>
      <c r="C339" s="26" t="s">
        <v>1351</v>
      </c>
      <c r="D339" s="26"/>
      <c r="E339" s="26" t="s">
        <v>1352</v>
      </c>
      <c r="F339" s="26" t="s">
        <v>39</v>
      </c>
      <c r="G339" s="27">
        <v>1100.0</v>
      </c>
      <c r="H339" s="26"/>
      <c r="I339" s="26" t="s">
        <v>1353</v>
      </c>
      <c r="J339" s="26"/>
      <c r="K339" s="26" t="s">
        <v>45</v>
      </c>
      <c r="L339" s="26" t="s">
        <v>47</v>
      </c>
      <c r="M339" s="26" t="s">
        <v>61</v>
      </c>
      <c r="N339" s="26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</row>
    <row r="340" ht="15.75" customHeight="1">
      <c r="A340" s="26">
        <v>339.0</v>
      </c>
      <c r="B340" s="17">
        <v>45879.0</v>
      </c>
      <c r="C340" s="26" t="s">
        <v>145</v>
      </c>
      <c r="D340" s="26"/>
      <c r="E340" s="26" t="s">
        <v>200</v>
      </c>
      <c r="F340" s="26" t="s">
        <v>39</v>
      </c>
      <c r="G340" s="27">
        <v>2000.0</v>
      </c>
      <c r="H340" s="26"/>
      <c r="I340" s="26" t="s">
        <v>1354</v>
      </c>
      <c r="J340" s="26"/>
      <c r="K340" s="26" t="s">
        <v>603</v>
      </c>
      <c r="L340" s="26" t="s">
        <v>47</v>
      </c>
      <c r="M340" s="26" t="s">
        <v>61</v>
      </c>
      <c r="N340" s="26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</row>
    <row r="341" ht="15.75" customHeight="1">
      <c r="A341" s="26">
        <v>340.0</v>
      </c>
      <c r="B341" s="17">
        <v>45885.0</v>
      </c>
      <c r="C341" s="26" t="s">
        <v>714</v>
      </c>
      <c r="D341" s="26"/>
      <c r="E341" s="26" t="s">
        <v>1034</v>
      </c>
      <c r="F341" s="26" t="s">
        <v>39</v>
      </c>
      <c r="G341" s="27">
        <v>1100.0</v>
      </c>
      <c r="H341" s="26"/>
      <c r="I341" s="26" t="s">
        <v>1355</v>
      </c>
      <c r="J341" s="26"/>
      <c r="K341" s="26" t="s">
        <v>45</v>
      </c>
      <c r="L341" s="26" t="s">
        <v>47</v>
      </c>
      <c r="M341" s="26" t="s">
        <v>61</v>
      </c>
      <c r="N341" s="26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</row>
    <row r="342" ht="15.75" customHeight="1">
      <c r="A342" s="26">
        <v>341.0</v>
      </c>
      <c r="B342" s="17">
        <v>45885.0</v>
      </c>
      <c r="C342" s="26" t="s">
        <v>1356</v>
      </c>
      <c r="D342" s="26"/>
      <c r="E342" s="26" t="s">
        <v>942</v>
      </c>
      <c r="F342" s="26" t="s">
        <v>39</v>
      </c>
      <c r="G342" s="27">
        <v>1100.0</v>
      </c>
      <c r="H342" s="26"/>
      <c r="I342" s="26" t="s">
        <v>1357</v>
      </c>
      <c r="J342" s="26"/>
      <c r="K342" s="26" t="s">
        <v>45</v>
      </c>
      <c r="L342" s="26" t="s">
        <v>47</v>
      </c>
      <c r="M342" s="26" t="s">
        <v>61</v>
      </c>
      <c r="N342" s="26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</row>
    <row r="343" ht="15.75" customHeight="1">
      <c r="A343" s="26">
        <v>342.0</v>
      </c>
      <c r="B343" s="17">
        <v>45885.0</v>
      </c>
      <c r="C343" s="26" t="s">
        <v>145</v>
      </c>
      <c r="D343" s="26"/>
      <c r="E343" s="26"/>
      <c r="F343" s="26" t="s">
        <v>39</v>
      </c>
      <c r="G343" s="27">
        <v>100.0</v>
      </c>
      <c r="H343" s="26"/>
      <c r="I343" s="26" t="s">
        <v>1358</v>
      </c>
      <c r="J343" s="26"/>
      <c r="K343" s="26" t="s">
        <v>45</v>
      </c>
      <c r="L343" s="26" t="s">
        <v>47</v>
      </c>
      <c r="M343" s="26" t="s">
        <v>61</v>
      </c>
      <c r="N343" s="26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</row>
    <row r="344" ht="15.75" customHeight="1">
      <c r="A344" s="26">
        <v>343.0</v>
      </c>
      <c r="B344" s="17">
        <v>45885.0</v>
      </c>
      <c r="C344" s="26" t="s">
        <v>145</v>
      </c>
      <c r="D344" s="26"/>
      <c r="E344" s="26"/>
      <c r="F344" s="26" t="s">
        <v>39</v>
      </c>
      <c r="G344" s="27">
        <v>100.0</v>
      </c>
      <c r="H344" s="26"/>
      <c r="I344" s="26" t="s">
        <v>1359</v>
      </c>
      <c r="J344" s="26"/>
      <c r="K344" s="26" t="s">
        <v>45</v>
      </c>
      <c r="L344" s="26" t="s">
        <v>47</v>
      </c>
      <c r="M344" s="26" t="s">
        <v>61</v>
      </c>
      <c r="N344" s="26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</row>
    <row r="345" ht="15.75" customHeight="1">
      <c r="A345" s="26">
        <v>344.0</v>
      </c>
      <c r="B345" s="17">
        <v>45885.0</v>
      </c>
      <c r="C345" s="26" t="s">
        <v>145</v>
      </c>
      <c r="D345" s="26"/>
      <c r="E345" s="26"/>
      <c r="F345" s="26" t="s">
        <v>39</v>
      </c>
      <c r="G345" s="27">
        <v>500.0</v>
      </c>
      <c r="H345" s="26"/>
      <c r="I345" s="26" t="s">
        <v>1360</v>
      </c>
      <c r="J345" s="26"/>
      <c r="K345" s="26" t="s">
        <v>45</v>
      </c>
      <c r="L345" s="26" t="s">
        <v>47</v>
      </c>
      <c r="M345" s="26" t="s">
        <v>61</v>
      </c>
      <c r="N345" s="26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</row>
    <row r="346" ht="15.75" customHeight="1">
      <c r="A346" s="26">
        <v>345.0</v>
      </c>
      <c r="B346" s="17">
        <v>45885.0</v>
      </c>
      <c r="C346" s="26" t="s">
        <v>1361</v>
      </c>
      <c r="D346" s="26"/>
      <c r="E346" s="26" t="s">
        <v>1362</v>
      </c>
      <c r="F346" s="26" t="s">
        <v>39</v>
      </c>
      <c r="G346" s="27">
        <v>200.0</v>
      </c>
      <c r="H346" s="26"/>
      <c r="I346" s="26" t="s">
        <v>1363</v>
      </c>
      <c r="J346" s="26"/>
      <c r="K346" s="26" t="s">
        <v>45</v>
      </c>
      <c r="L346" s="26" t="s">
        <v>47</v>
      </c>
      <c r="M346" s="26" t="s">
        <v>61</v>
      </c>
      <c r="N346" s="26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</row>
    <row r="347" ht="15.75" customHeight="1">
      <c r="A347" s="26">
        <v>346.0</v>
      </c>
      <c r="B347" s="17">
        <v>45885.0</v>
      </c>
      <c r="C347" s="26" t="s">
        <v>145</v>
      </c>
      <c r="D347" s="26"/>
      <c r="E347" s="26"/>
      <c r="F347" s="26" t="s">
        <v>39</v>
      </c>
      <c r="G347" s="27">
        <v>200.0</v>
      </c>
      <c r="H347" s="26"/>
      <c r="I347" s="26" t="s">
        <v>1364</v>
      </c>
      <c r="J347" s="26"/>
      <c r="K347" s="26" t="s">
        <v>45</v>
      </c>
      <c r="L347" s="26" t="s">
        <v>47</v>
      </c>
      <c r="M347" s="26" t="s">
        <v>61</v>
      </c>
      <c r="N347" s="26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</row>
    <row r="348" ht="15.75" customHeight="1">
      <c r="A348" s="26">
        <v>347.0</v>
      </c>
      <c r="B348" s="17">
        <v>45885.0</v>
      </c>
      <c r="C348" s="26" t="s">
        <v>145</v>
      </c>
      <c r="D348" s="26"/>
      <c r="E348" s="26"/>
      <c r="F348" s="26" t="s">
        <v>39</v>
      </c>
      <c r="G348" s="27">
        <v>500.0</v>
      </c>
      <c r="H348" s="26"/>
      <c r="I348" s="26" t="s">
        <v>1365</v>
      </c>
      <c r="J348" s="26"/>
      <c r="K348" s="26" t="s">
        <v>45</v>
      </c>
      <c r="L348" s="26" t="s">
        <v>47</v>
      </c>
      <c r="M348" s="26" t="s">
        <v>61</v>
      </c>
      <c r="N348" s="26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</row>
    <row r="349" ht="15.75" customHeight="1">
      <c r="A349" s="26">
        <v>348.0</v>
      </c>
      <c r="B349" s="17">
        <v>45885.0</v>
      </c>
      <c r="C349" s="26" t="s">
        <v>1366</v>
      </c>
      <c r="D349" s="26"/>
      <c r="E349" s="26" t="s">
        <v>653</v>
      </c>
      <c r="F349" s="26" t="s">
        <v>39</v>
      </c>
      <c r="G349" s="27">
        <v>1100.0</v>
      </c>
      <c r="H349" s="26"/>
      <c r="I349" s="26" t="s">
        <v>1367</v>
      </c>
      <c r="J349" s="26"/>
      <c r="K349" s="26" t="s">
        <v>45</v>
      </c>
      <c r="L349" s="26" t="s">
        <v>47</v>
      </c>
      <c r="M349" s="26" t="s">
        <v>61</v>
      </c>
      <c r="N349" s="26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</row>
    <row r="350" ht="15.75" customHeight="1">
      <c r="A350" s="26">
        <v>349.0</v>
      </c>
      <c r="B350" s="17">
        <v>45885.0</v>
      </c>
      <c r="C350" s="26" t="s">
        <v>1368</v>
      </c>
      <c r="D350" s="26"/>
      <c r="E350" s="26" t="s">
        <v>1369</v>
      </c>
      <c r="F350" s="26" t="s">
        <v>39</v>
      </c>
      <c r="G350" s="27">
        <v>200.0</v>
      </c>
      <c r="H350" s="26"/>
      <c r="I350" s="26" t="s">
        <v>1370</v>
      </c>
      <c r="J350" s="26"/>
      <c r="K350" s="26" t="s">
        <v>45</v>
      </c>
      <c r="L350" s="26" t="s">
        <v>47</v>
      </c>
      <c r="M350" s="26" t="s">
        <v>61</v>
      </c>
      <c r="N350" s="26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</row>
    <row r="351" ht="15.75" customHeight="1">
      <c r="A351" s="26">
        <v>350.0</v>
      </c>
      <c r="B351" s="17">
        <v>45885.0</v>
      </c>
      <c r="C351" s="26" t="s">
        <v>145</v>
      </c>
      <c r="D351" s="26"/>
      <c r="E351" s="26"/>
      <c r="F351" s="26" t="s">
        <v>39</v>
      </c>
      <c r="G351" s="27">
        <v>1000.0</v>
      </c>
      <c r="H351" s="26"/>
      <c r="I351" s="26" t="s">
        <v>1371</v>
      </c>
      <c r="J351" s="26"/>
      <c r="K351" s="26" t="s">
        <v>45</v>
      </c>
      <c r="L351" s="26" t="s">
        <v>47</v>
      </c>
      <c r="M351" s="26" t="s">
        <v>61</v>
      </c>
      <c r="N351" s="26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</row>
    <row r="352" ht="15.75" customHeight="1">
      <c r="A352" s="26">
        <v>351.0</v>
      </c>
      <c r="B352" s="17">
        <v>45885.0</v>
      </c>
      <c r="C352" s="26" t="s">
        <v>1372</v>
      </c>
      <c r="D352" s="26"/>
      <c r="E352" s="26"/>
      <c r="F352" s="26" t="s">
        <v>39</v>
      </c>
      <c r="G352" s="27">
        <v>100.0</v>
      </c>
      <c r="H352" s="26"/>
      <c r="I352" s="26" t="s">
        <v>1373</v>
      </c>
      <c r="J352" s="26"/>
      <c r="K352" s="26" t="s">
        <v>45</v>
      </c>
      <c r="L352" s="26" t="s">
        <v>47</v>
      </c>
      <c r="M352" s="26" t="s">
        <v>61</v>
      </c>
      <c r="N352" s="26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</row>
    <row r="353" ht="15.75" customHeight="1">
      <c r="A353" s="26">
        <v>352.0</v>
      </c>
      <c r="B353" s="17">
        <v>45885.0</v>
      </c>
      <c r="C353" s="26" t="s">
        <v>1374</v>
      </c>
      <c r="D353" s="26"/>
      <c r="E353" s="26"/>
      <c r="F353" s="26" t="s">
        <v>39</v>
      </c>
      <c r="G353" s="27">
        <v>200.0</v>
      </c>
      <c r="H353" s="26"/>
      <c r="I353" s="26" t="s">
        <v>1375</v>
      </c>
      <c r="J353" s="26"/>
      <c r="K353" s="26" t="s">
        <v>45</v>
      </c>
      <c r="L353" s="26" t="s">
        <v>47</v>
      </c>
      <c r="M353" s="26" t="s">
        <v>61</v>
      </c>
      <c r="N353" s="26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</row>
    <row r="354" ht="15.75" customHeight="1">
      <c r="A354" s="26">
        <v>353.0</v>
      </c>
      <c r="B354" s="17">
        <v>45885.0</v>
      </c>
      <c r="C354" s="26" t="s">
        <v>1376</v>
      </c>
      <c r="D354" s="26"/>
      <c r="E354" s="26" t="s">
        <v>203</v>
      </c>
      <c r="F354" s="26" t="s">
        <v>39</v>
      </c>
      <c r="G354" s="27">
        <v>500.0</v>
      </c>
      <c r="H354" s="26"/>
      <c r="I354" s="26" t="s">
        <v>1377</v>
      </c>
      <c r="J354" s="26"/>
      <c r="K354" s="26" t="s">
        <v>45</v>
      </c>
      <c r="L354" s="26" t="s">
        <v>47</v>
      </c>
      <c r="M354" s="26" t="s">
        <v>61</v>
      </c>
      <c r="N354" s="26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</row>
    <row r="355" ht="15.75" customHeight="1">
      <c r="A355" s="26">
        <v>354.0</v>
      </c>
      <c r="B355" s="17">
        <v>45885.0</v>
      </c>
      <c r="C355" s="26" t="s">
        <v>1378</v>
      </c>
      <c r="D355" s="26"/>
      <c r="E355" s="26" t="s">
        <v>876</v>
      </c>
      <c r="F355" s="26" t="s">
        <v>39</v>
      </c>
      <c r="G355" s="27">
        <v>100.0</v>
      </c>
      <c r="H355" s="26"/>
      <c r="I355" s="26" t="s">
        <v>1379</v>
      </c>
      <c r="J355" s="26"/>
      <c r="K355" s="26" t="s">
        <v>45</v>
      </c>
      <c r="L355" s="26" t="s">
        <v>47</v>
      </c>
      <c r="M355" s="26" t="s">
        <v>61</v>
      </c>
      <c r="N355" s="26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</row>
    <row r="356" ht="15.75" customHeight="1">
      <c r="A356" s="26">
        <v>355.0</v>
      </c>
      <c r="B356" s="17">
        <v>45885.0</v>
      </c>
      <c r="C356" s="26" t="s">
        <v>1380</v>
      </c>
      <c r="D356" s="26"/>
      <c r="E356" s="26"/>
      <c r="F356" s="26" t="s">
        <v>39</v>
      </c>
      <c r="G356" s="27">
        <v>500.0</v>
      </c>
      <c r="H356" s="26"/>
      <c r="I356" s="26" t="s">
        <v>1381</v>
      </c>
      <c r="J356" s="26"/>
      <c r="K356" s="26" t="s">
        <v>45</v>
      </c>
      <c r="L356" s="26" t="s">
        <v>47</v>
      </c>
      <c r="M356" s="26" t="s">
        <v>61</v>
      </c>
      <c r="N356" s="26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</row>
    <row r="357" ht="15.75" customHeight="1">
      <c r="A357" s="26">
        <v>356.0</v>
      </c>
      <c r="B357" s="17">
        <v>45885.0</v>
      </c>
      <c r="C357" s="26" t="s">
        <v>145</v>
      </c>
      <c r="D357" s="26"/>
      <c r="E357" s="26"/>
      <c r="F357" s="26" t="s">
        <v>39</v>
      </c>
      <c r="G357" s="27">
        <v>500.0</v>
      </c>
      <c r="H357" s="26"/>
      <c r="I357" s="26" t="s">
        <v>1382</v>
      </c>
      <c r="J357" s="26"/>
      <c r="K357" s="26" t="s">
        <v>45</v>
      </c>
      <c r="L357" s="26" t="s">
        <v>47</v>
      </c>
      <c r="M357" s="26" t="s">
        <v>61</v>
      </c>
      <c r="N357" s="26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</row>
    <row r="358" ht="15.75" customHeight="1">
      <c r="A358" s="26">
        <v>357.0</v>
      </c>
      <c r="B358" s="17">
        <v>45885.0</v>
      </c>
      <c r="C358" s="26" t="s">
        <v>1383</v>
      </c>
      <c r="D358" s="26"/>
      <c r="E358" s="26"/>
      <c r="F358" s="26" t="s">
        <v>39</v>
      </c>
      <c r="G358" s="27">
        <v>1100.0</v>
      </c>
      <c r="H358" s="26"/>
      <c r="I358" s="26" t="s">
        <v>1384</v>
      </c>
      <c r="J358" s="26"/>
      <c r="K358" s="26" t="s">
        <v>45</v>
      </c>
      <c r="L358" s="26" t="s">
        <v>47</v>
      </c>
      <c r="M358" s="26" t="s">
        <v>61</v>
      </c>
      <c r="N358" s="26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</row>
    <row r="359" ht="15.75" customHeight="1">
      <c r="A359" s="26">
        <v>358.0</v>
      </c>
      <c r="B359" s="17">
        <v>45885.0</v>
      </c>
      <c r="C359" s="26" t="s">
        <v>145</v>
      </c>
      <c r="D359" s="26"/>
      <c r="E359" s="26"/>
      <c r="F359" s="26" t="s">
        <v>39</v>
      </c>
      <c r="G359" s="27">
        <v>500.0</v>
      </c>
      <c r="H359" s="26"/>
      <c r="I359" s="26" t="s">
        <v>1385</v>
      </c>
      <c r="J359" s="26"/>
      <c r="K359" s="26" t="s">
        <v>45</v>
      </c>
      <c r="L359" s="26" t="s">
        <v>47</v>
      </c>
      <c r="M359" s="26" t="s">
        <v>61</v>
      </c>
      <c r="N359" s="26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</row>
    <row r="360" ht="15.75" customHeight="1">
      <c r="A360" s="26">
        <v>359.0</v>
      </c>
      <c r="B360" s="17">
        <v>45885.0</v>
      </c>
      <c r="C360" s="26" t="s">
        <v>1386</v>
      </c>
      <c r="D360" s="26"/>
      <c r="E360" s="26"/>
      <c r="F360" s="26" t="s">
        <v>39</v>
      </c>
      <c r="G360" s="27">
        <v>105.0</v>
      </c>
      <c r="H360" s="26"/>
      <c r="I360" s="26" t="s">
        <v>1387</v>
      </c>
      <c r="J360" s="26"/>
      <c r="K360" s="26" t="s">
        <v>45</v>
      </c>
      <c r="L360" s="26" t="s">
        <v>47</v>
      </c>
      <c r="M360" s="26" t="s">
        <v>61</v>
      </c>
      <c r="N360" s="26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</row>
    <row r="361" ht="15.75" customHeight="1">
      <c r="A361" s="26">
        <v>360.0</v>
      </c>
      <c r="B361" s="17">
        <v>45885.0</v>
      </c>
      <c r="C361" s="26" t="s">
        <v>1388</v>
      </c>
      <c r="D361" s="26"/>
      <c r="E361" s="26"/>
      <c r="F361" s="26" t="s">
        <v>39</v>
      </c>
      <c r="G361" s="27">
        <v>1000.0</v>
      </c>
      <c r="H361" s="26"/>
      <c r="I361" s="26" t="s">
        <v>1389</v>
      </c>
      <c r="J361" s="26"/>
      <c r="K361" s="26" t="s">
        <v>45</v>
      </c>
      <c r="L361" s="26" t="s">
        <v>47</v>
      </c>
      <c r="M361" s="26" t="s">
        <v>61</v>
      </c>
      <c r="N361" s="26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</row>
    <row r="362" ht="15.75" customHeight="1">
      <c r="A362" s="26">
        <v>361.0</v>
      </c>
      <c r="B362" s="17">
        <v>45885.0</v>
      </c>
      <c r="C362" s="26" t="s">
        <v>1390</v>
      </c>
      <c r="D362" s="26"/>
      <c r="E362" s="26"/>
      <c r="F362" s="26" t="s">
        <v>39</v>
      </c>
      <c r="G362" s="27">
        <v>100.0</v>
      </c>
      <c r="H362" s="26"/>
      <c r="I362" s="26" t="s">
        <v>1391</v>
      </c>
      <c r="J362" s="26"/>
      <c r="K362" s="26" t="s">
        <v>45</v>
      </c>
      <c r="L362" s="26" t="s">
        <v>47</v>
      </c>
      <c r="M362" s="26" t="s">
        <v>61</v>
      </c>
      <c r="N362" s="26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</row>
    <row r="363" ht="15.75" customHeight="1">
      <c r="A363" s="26">
        <v>362.0</v>
      </c>
      <c r="B363" s="17">
        <v>45885.0</v>
      </c>
      <c r="C363" s="26" t="s">
        <v>145</v>
      </c>
      <c r="D363" s="26"/>
      <c r="E363" s="26"/>
      <c r="F363" s="26" t="s">
        <v>39</v>
      </c>
      <c r="G363" s="27">
        <v>500.0</v>
      </c>
      <c r="H363" s="26"/>
      <c r="I363" s="26" t="s">
        <v>1392</v>
      </c>
      <c r="J363" s="26"/>
      <c r="K363" s="26" t="s">
        <v>45</v>
      </c>
      <c r="L363" s="26" t="s">
        <v>47</v>
      </c>
      <c r="M363" s="26" t="s">
        <v>61</v>
      </c>
      <c r="N363" s="26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</row>
    <row r="364" ht="15.75" customHeight="1">
      <c r="A364" s="26">
        <v>363.0</v>
      </c>
      <c r="B364" s="17">
        <v>45885.0</v>
      </c>
      <c r="C364" s="26" t="s">
        <v>1393</v>
      </c>
      <c r="D364" s="26"/>
      <c r="E364" s="26"/>
      <c r="F364" s="26" t="s">
        <v>39</v>
      </c>
      <c r="G364" s="27">
        <v>100.0</v>
      </c>
      <c r="H364" s="26"/>
      <c r="I364" s="26" t="s">
        <v>1394</v>
      </c>
      <c r="J364" s="26"/>
      <c r="K364" s="26" t="s">
        <v>45</v>
      </c>
      <c r="L364" s="26" t="s">
        <v>47</v>
      </c>
      <c r="M364" s="26" t="s">
        <v>61</v>
      </c>
      <c r="N364" s="26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</row>
    <row r="365" ht="15.75" customHeight="1">
      <c r="A365" s="26">
        <v>364.0</v>
      </c>
      <c r="B365" s="17">
        <v>45885.0</v>
      </c>
      <c r="C365" s="26" t="s">
        <v>145</v>
      </c>
      <c r="D365" s="26"/>
      <c r="E365" s="26" t="s">
        <v>1352</v>
      </c>
      <c r="F365" s="26" t="s">
        <v>39</v>
      </c>
      <c r="G365" s="27">
        <v>500.0</v>
      </c>
      <c r="H365" s="26"/>
      <c r="I365" s="26" t="s">
        <v>1395</v>
      </c>
      <c r="J365" s="26"/>
      <c r="K365" s="26" t="s">
        <v>45</v>
      </c>
      <c r="L365" s="26" t="s">
        <v>47</v>
      </c>
      <c r="M365" s="26" t="s">
        <v>61</v>
      </c>
      <c r="N365" s="26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</row>
    <row r="366" ht="15.75" customHeight="1">
      <c r="A366" s="26">
        <v>365.0</v>
      </c>
      <c r="B366" s="17">
        <v>45885.0</v>
      </c>
      <c r="C366" s="26" t="s">
        <v>1396</v>
      </c>
      <c r="D366" s="26"/>
      <c r="E366" s="26"/>
      <c r="F366" s="26" t="s">
        <v>39</v>
      </c>
      <c r="G366" s="27">
        <v>100.0</v>
      </c>
      <c r="H366" s="26"/>
      <c r="I366" s="26" t="s">
        <v>1397</v>
      </c>
      <c r="J366" s="26"/>
      <c r="K366" s="26" t="s">
        <v>45</v>
      </c>
      <c r="L366" s="26" t="s">
        <v>47</v>
      </c>
      <c r="M366" s="26" t="s">
        <v>61</v>
      </c>
      <c r="N366" s="26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</row>
    <row r="367" ht="15.75" customHeight="1">
      <c r="A367" s="26">
        <v>366.0</v>
      </c>
      <c r="B367" s="17">
        <v>45885.0</v>
      </c>
      <c r="C367" s="26" t="s">
        <v>145</v>
      </c>
      <c r="D367" s="26"/>
      <c r="E367" s="26"/>
      <c r="F367" s="26" t="s">
        <v>39</v>
      </c>
      <c r="G367" s="27">
        <v>100.0</v>
      </c>
      <c r="H367" s="26"/>
      <c r="I367" s="26" t="s">
        <v>1398</v>
      </c>
      <c r="J367" s="26"/>
      <c r="K367" s="26" t="s">
        <v>45</v>
      </c>
      <c r="L367" s="26" t="s">
        <v>47</v>
      </c>
      <c r="M367" s="26" t="s">
        <v>61</v>
      </c>
      <c r="N367" s="26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</row>
    <row r="368" ht="15.75" customHeight="1">
      <c r="A368" s="26">
        <v>367.0</v>
      </c>
      <c r="B368" s="17">
        <v>45885.0</v>
      </c>
      <c r="C368" s="26" t="s">
        <v>1399</v>
      </c>
      <c r="D368" s="26"/>
      <c r="E368" s="26" t="s">
        <v>1400</v>
      </c>
      <c r="F368" s="26" t="s">
        <v>39</v>
      </c>
      <c r="G368" s="27">
        <v>100.0</v>
      </c>
      <c r="H368" s="26"/>
      <c r="I368" s="26" t="s">
        <v>1401</v>
      </c>
      <c r="J368" s="26"/>
      <c r="K368" s="26" t="s">
        <v>45</v>
      </c>
      <c r="L368" s="26" t="s">
        <v>47</v>
      </c>
      <c r="M368" s="26" t="s">
        <v>61</v>
      </c>
      <c r="N368" s="26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</row>
    <row r="369" ht="15.75" customHeight="1">
      <c r="A369" s="26">
        <v>368.0</v>
      </c>
      <c r="B369" s="17">
        <v>45885.0</v>
      </c>
      <c r="C369" s="26" t="s">
        <v>1402</v>
      </c>
      <c r="D369" s="26"/>
      <c r="E369" s="26"/>
      <c r="F369" s="26" t="s">
        <v>39</v>
      </c>
      <c r="G369" s="27">
        <v>100.0</v>
      </c>
      <c r="H369" s="26"/>
      <c r="I369" s="26" t="s">
        <v>1403</v>
      </c>
      <c r="J369" s="26"/>
      <c r="K369" s="26" t="s">
        <v>45</v>
      </c>
      <c r="L369" s="26" t="s">
        <v>47</v>
      </c>
      <c r="M369" s="26" t="s">
        <v>61</v>
      </c>
      <c r="N369" s="26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</row>
    <row r="370" ht="15.75" customHeight="1">
      <c r="A370" s="26">
        <v>369.0</v>
      </c>
      <c r="B370" s="17">
        <v>45885.0</v>
      </c>
      <c r="C370" s="26" t="s">
        <v>145</v>
      </c>
      <c r="D370" s="26"/>
      <c r="E370" s="26"/>
      <c r="F370" s="26" t="s">
        <v>39</v>
      </c>
      <c r="G370" s="27">
        <v>500.0</v>
      </c>
      <c r="H370" s="26"/>
      <c r="I370" s="26" t="s">
        <v>1404</v>
      </c>
      <c r="J370" s="26"/>
      <c r="K370" s="26" t="s">
        <v>45</v>
      </c>
      <c r="L370" s="26" t="s">
        <v>47</v>
      </c>
      <c r="M370" s="26" t="s">
        <v>61</v>
      </c>
      <c r="N370" s="26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</row>
    <row r="371" ht="15.75" customHeight="1">
      <c r="A371" s="26">
        <v>370.0</v>
      </c>
      <c r="B371" s="17">
        <v>45885.0</v>
      </c>
      <c r="C371" s="26" t="s">
        <v>1405</v>
      </c>
      <c r="D371" s="26"/>
      <c r="E371" s="26"/>
      <c r="F371" s="26" t="s">
        <v>39</v>
      </c>
      <c r="G371" s="27">
        <v>200.0</v>
      </c>
      <c r="H371" s="26"/>
      <c r="I371" s="26" t="s">
        <v>1406</v>
      </c>
      <c r="J371" s="26"/>
      <c r="K371" s="26" t="s">
        <v>45</v>
      </c>
      <c r="L371" s="26" t="s">
        <v>47</v>
      </c>
      <c r="M371" s="26" t="s">
        <v>61</v>
      </c>
      <c r="N371" s="26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</row>
    <row r="372" ht="15.75" customHeight="1">
      <c r="A372" s="26">
        <v>371.0</v>
      </c>
      <c r="B372" s="17">
        <v>45885.0</v>
      </c>
      <c r="C372" s="26" t="s">
        <v>1407</v>
      </c>
      <c r="D372" s="26"/>
      <c r="E372" s="26"/>
      <c r="F372" s="26" t="s">
        <v>39</v>
      </c>
      <c r="G372" s="27">
        <v>500.0</v>
      </c>
      <c r="H372" s="26"/>
      <c r="I372" s="26" t="s">
        <v>1408</v>
      </c>
      <c r="J372" s="26"/>
      <c r="K372" s="26" t="s">
        <v>45</v>
      </c>
      <c r="L372" s="26" t="s">
        <v>47</v>
      </c>
      <c r="M372" s="26" t="s">
        <v>61</v>
      </c>
      <c r="N372" s="26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</row>
    <row r="373" ht="15.75" customHeight="1">
      <c r="A373" s="26">
        <v>372.0</v>
      </c>
      <c r="B373" s="17">
        <v>45885.0</v>
      </c>
      <c r="C373" s="26" t="s">
        <v>1409</v>
      </c>
      <c r="D373" s="26"/>
      <c r="E373" s="26"/>
      <c r="F373" s="26" t="s">
        <v>39</v>
      </c>
      <c r="G373" s="27">
        <v>502.0</v>
      </c>
      <c r="H373" s="26"/>
      <c r="I373" s="26" t="s">
        <v>1410</v>
      </c>
      <c r="J373" s="26"/>
      <c r="K373" s="26" t="s">
        <v>45</v>
      </c>
      <c r="L373" s="26" t="s">
        <v>47</v>
      </c>
      <c r="M373" s="26" t="s">
        <v>61</v>
      </c>
      <c r="N373" s="26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</row>
    <row r="374" ht="15.75" customHeight="1">
      <c r="A374" s="26">
        <v>373.0</v>
      </c>
      <c r="B374" s="17">
        <v>45885.0</v>
      </c>
      <c r="C374" s="26" t="s">
        <v>1411</v>
      </c>
      <c r="D374" s="26"/>
      <c r="E374" s="26"/>
      <c r="F374" s="26" t="s">
        <v>39</v>
      </c>
      <c r="G374" s="27">
        <v>3100.0</v>
      </c>
      <c r="H374" s="26"/>
      <c r="I374" s="26" t="s">
        <v>1412</v>
      </c>
      <c r="J374" s="26"/>
      <c r="K374" s="26" t="s">
        <v>603</v>
      </c>
      <c r="L374" s="26" t="s">
        <v>47</v>
      </c>
      <c r="M374" s="26" t="s">
        <v>54</v>
      </c>
      <c r="N374" s="26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</row>
    <row r="375" ht="15.75" customHeight="1">
      <c r="A375" s="26">
        <v>374.0</v>
      </c>
      <c r="B375" s="17">
        <v>45885.0</v>
      </c>
      <c r="C375" s="26" t="s">
        <v>1413</v>
      </c>
      <c r="D375" s="26"/>
      <c r="E375" s="26"/>
      <c r="F375" s="26" t="s">
        <v>39</v>
      </c>
      <c r="G375" s="27">
        <v>500.0</v>
      </c>
      <c r="H375" s="26"/>
      <c r="I375" s="26" t="s">
        <v>1414</v>
      </c>
      <c r="J375" s="26"/>
      <c r="K375" s="26" t="s">
        <v>45</v>
      </c>
      <c r="L375" s="26" t="s">
        <v>47</v>
      </c>
      <c r="M375" s="26" t="s">
        <v>61</v>
      </c>
      <c r="N375" s="26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</row>
    <row r="376" ht="15.75" customHeight="1">
      <c r="A376" s="26">
        <v>375.0</v>
      </c>
      <c r="B376" s="17">
        <v>45885.0</v>
      </c>
      <c r="C376" s="26" t="s">
        <v>1415</v>
      </c>
      <c r="D376" s="26"/>
      <c r="E376" s="26" t="s">
        <v>1416</v>
      </c>
      <c r="F376" s="26" t="s">
        <v>39</v>
      </c>
      <c r="G376" s="27">
        <v>500.0</v>
      </c>
      <c r="H376" s="26"/>
      <c r="I376" s="26" t="s">
        <v>1417</v>
      </c>
      <c r="J376" s="26"/>
      <c r="K376" s="26" t="s">
        <v>45</v>
      </c>
      <c r="L376" s="26" t="s">
        <v>47</v>
      </c>
      <c r="M376" s="26" t="s">
        <v>61</v>
      </c>
      <c r="N376" s="26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</row>
    <row r="377" ht="15.75" customHeight="1">
      <c r="A377" s="26">
        <v>376.0</v>
      </c>
      <c r="B377" s="17">
        <v>45886.0</v>
      </c>
      <c r="C377" s="26" t="s">
        <v>1418</v>
      </c>
      <c r="D377" s="26"/>
      <c r="E377" s="26"/>
      <c r="F377" s="26" t="s">
        <v>39</v>
      </c>
      <c r="G377" s="27">
        <v>8050.0</v>
      </c>
      <c r="H377" s="26"/>
      <c r="I377" s="26" t="s">
        <v>1419</v>
      </c>
      <c r="J377" s="26"/>
      <c r="K377" s="26" t="s">
        <v>45</v>
      </c>
      <c r="L377" s="26" t="s">
        <v>47</v>
      </c>
      <c r="M377" s="26" t="s">
        <v>61</v>
      </c>
      <c r="N377" s="26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</row>
    <row r="378" ht="15.75" customHeight="1">
      <c r="A378" s="26">
        <v>377.0</v>
      </c>
      <c r="B378" s="17">
        <v>45886.0</v>
      </c>
      <c r="C378" s="26" t="s">
        <v>1420</v>
      </c>
      <c r="D378" s="26"/>
      <c r="E378" s="26"/>
      <c r="F378" s="26" t="s">
        <v>39</v>
      </c>
      <c r="G378" s="27">
        <v>3100.0</v>
      </c>
      <c r="H378" s="26"/>
      <c r="I378" s="26" t="s">
        <v>1421</v>
      </c>
      <c r="J378" s="26"/>
      <c r="K378" s="26" t="s">
        <v>45</v>
      </c>
      <c r="L378" s="26" t="s">
        <v>47</v>
      </c>
      <c r="M378" s="26" t="s">
        <v>61</v>
      </c>
      <c r="N378" s="26" t="s">
        <v>1422</v>
      </c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</row>
    <row r="379" ht="15.75" customHeight="1">
      <c r="A379" s="26">
        <v>378.0</v>
      </c>
      <c r="B379" s="17">
        <v>45886.0</v>
      </c>
      <c r="C379" s="26" t="s">
        <v>145</v>
      </c>
      <c r="D379" s="26"/>
      <c r="E379" s="26"/>
      <c r="F379" s="26" t="s">
        <v>39</v>
      </c>
      <c r="G379" s="27">
        <v>2100.0</v>
      </c>
      <c r="H379" s="26"/>
      <c r="I379" s="26" t="s">
        <v>1423</v>
      </c>
      <c r="J379" s="26"/>
      <c r="K379" s="26" t="s">
        <v>45</v>
      </c>
      <c r="L379" s="26" t="s">
        <v>47</v>
      </c>
      <c r="M379" s="26" t="s">
        <v>61</v>
      </c>
      <c r="N379" s="26" t="s">
        <v>1422</v>
      </c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</row>
    <row r="380" ht="15.75" customHeight="1">
      <c r="A380" s="26">
        <v>379.0</v>
      </c>
      <c r="B380" s="17">
        <v>45886.0</v>
      </c>
      <c r="C380" s="26" t="s">
        <v>100</v>
      </c>
      <c r="D380" s="26"/>
      <c r="E380" s="26"/>
      <c r="F380" s="26" t="s">
        <v>39</v>
      </c>
      <c r="G380" s="27">
        <v>5100.0</v>
      </c>
      <c r="H380" s="26"/>
      <c r="I380" s="26" t="s">
        <v>1424</v>
      </c>
      <c r="J380" s="26"/>
      <c r="K380" s="26" t="s">
        <v>45</v>
      </c>
      <c r="L380" s="26" t="s">
        <v>47</v>
      </c>
      <c r="M380" s="26" t="s">
        <v>61</v>
      </c>
      <c r="N380" s="26" t="s">
        <v>1422</v>
      </c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</row>
    <row r="381" ht="15.75" customHeight="1">
      <c r="A381" s="26">
        <v>380.0</v>
      </c>
      <c r="B381" s="17">
        <v>45886.0</v>
      </c>
      <c r="C381" s="26" t="s">
        <v>54</v>
      </c>
      <c r="D381" s="26"/>
      <c r="E381" s="26"/>
      <c r="F381" s="26" t="s">
        <v>39</v>
      </c>
      <c r="G381" s="27">
        <v>4540.0</v>
      </c>
      <c r="H381" s="26"/>
      <c r="I381" s="26" t="s">
        <v>1425</v>
      </c>
      <c r="J381" s="26"/>
      <c r="K381" s="26" t="s">
        <v>45</v>
      </c>
      <c r="L381" s="26" t="s">
        <v>47</v>
      </c>
      <c r="M381" s="26" t="s">
        <v>61</v>
      </c>
      <c r="N381" s="26" t="s">
        <v>1422</v>
      </c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</row>
    <row r="382" ht="15.75" customHeight="1">
      <c r="A382" s="26">
        <v>381.0</v>
      </c>
      <c r="B382" s="17">
        <v>45886.0</v>
      </c>
      <c r="C382" s="26" t="s">
        <v>61</v>
      </c>
      <c r="D382" s="26"/>
      <c r="E382" s="26"/>
      <c r="F382" s="26" t="s">
        <v>39</v>
      </c>
      <c r="G382" s="27">
        <v>4540.0</v>
      </c>
      <c r="H382" s="26"/>
      <c r="I382" s="26" t="s">
        <v>1426</v>
      </c>
      <c r="J382" s="26"/>
      <c r="K382" s="26" t="s">
        <v>45</v>
      </c>
      <c r="L382" s="26" t="s">
        <v>47</v>
      </c>
      <c r="M382" s="26" t="s">
        <v>61</v>
      </c>
      <c r="N382" s="26" t="s">
        <v>1422</v>
      </c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</row>
    <row r="383" ht="15.75" customHeight="1">
      <c r="A383" s="26">
        <v>382.0</v>
      </c>
      <c r="B383" s="17">
        <v>45886.0</v>
      </c>
      <c r="C383" s="26" t="s">
        <v>73</v>
      </c>
      <c r="D383" s="26"/>
      <c r="E383" s="26"/>
      <c r="F383" s="26" t="s">
        <v>39</v>
      </c>
      <c r="G383" s="27">
        <v>4540.0</v>
      </c>
      <c r="H383" s="26"/>
      <c r="I383" s="26" t="s">
        <v>1427</v>
      </c>
      <c r="J383" s="26"/>
      <c r="K383" s="26" t="s">
        <v>45</v>
      </c>
      <c r="L383" s="26" t="s">
        <v>47</v>
      </c>
      <c r="M383" s="26" t="s">
        <v>61</v>
      </c>
      <c r="N383" s="26" t="s">
        <v>1422</v>
      </c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</row>
    <row r="384" ht="15.75" customHeight="1">
      <c r="A384" s="26">
        <v>383.0</v>
      </c>
      <c r="B384" s="17">
        <v>45886.0</v>
      </c>
      <c r="C384" s="26" t="s">
        <v>34</v>
      </c>
      <c r="D384" s="26"/>
      <c r="E384" s="26"/>
      <c r="F384" s="26" t="s">
        <v>39</v>
      </c>
      <c r="G384" s="27">
        <v>4540.0</v>
      </c>
      <c r="H384" s="26"/>
      <c r="I384" s="26" t="s">
        <v>1428</v>
      </c>
      <c r="J384" s="26"/>
      <c r="K384" s="26" t="s">
        <v>45</v>
      </c>
      <c r="L384" s="26" t="s">
        <v>47</v>
      </c>
      <c r="M384" s="26" t="s">
        <v>61</v>
      </c>
      <c r="N384" s="26" t="s">
        <v>1422</v>
      </c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</row>
    <row r="385" ht="15.75" customHeight="1">
      <c r="A385" s="26">
        <v>384.0</v>
      </c>
      <c r="B385" s="17">
        <v>45887.0</v>
      </c>
      <c r="C385" s="26" t="s">
        <v>70</v>
      </c>
      <c r="D385" s="26"/>
      <c r="E385" s="26"/>
      <c r="F385" s="26" t="s">
        <v>39</v>
      </c>
      <c r="G385" s="27">
        <v>4540.0</v>
      </c>
      <c r="H385" s="26"/>
      <c r="I385" s="26" t="s">
        <v>1429</v>
      </c>
      <c r="J385" s="26"/>
      <c r="K385" s="26" t="s">
        <v>45</v>
      </c>
      <c r="L385" s="26" t="s">
        <v>47</v>
      </c>
      <c r="M385" s="26" t="s">
        <v>61</v>
      </c>
      <c r="N385" s="26" t="s">
        <v>1422</v>
      </c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</row>
    <row r="386" ht="15.75" customHeight="1">
      <c r="A386" s="26">
        <v>385.0</v>
      </c>
      <c r="B386" s="17">
        <v>45868.0</v>
      </c>
      <c r="C386" s="26" t="s">
        <v>1430</v>
      </c>
      <c r="D386" s="26"/>
      <c r="E386" s="26" t="s">
        <v>1431</v>
      </c>
      <c r="F386" s="26" t="s">
        <v>39</v>
      </c>
      <c r="G386" s="27">
        <v>11000.0</v>
      </c>
      <c r="H386" s="26"/>
      <c r="I386" s="26" t="s">
        <v>1432</v>
      </c>
      <c r="J386" s="26"/>
      <c r="K386" s="26" t="s">
        <v>45</v>
      </c>
      <c r="L386" s="26" t="s">
        <v>47</v>
      </c>
      <c r="M386" s="26" t="s">
        <v>171</v>
      </c>
      <c r="N386" s="26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</row>
    <row r="387" ht="15.75" customHeight="1">
      <c r="A387" s="26">
        <v>386.0</v>
      </c>
      <c r="B387" s="17">
        <v>45868.0</v>
      </c>
      <c r="C387" s="26" t="s">
        <v>1433</v>
      </c>
      <c r="D387" s="26"/>
      <c r="E387" s="26" t="s">
        <v>1434</v>
      </c>
      <c r="F387" s="26" t="s">
        <v>39</v>
      </c>
      <c r="G387" s="27">
        <v>5100.0</v>
      </c>
      <c r="H387" s="26"/>
      <c r="I387" s="26" t="s">
        <v>1435</v>
      </c>
      <c r="J387" s="26"/>
      <c r="K387" s="26" t="s">
        <v>45</v>
      </c>
      <c r="L387" s="26" t="s">
        <v>47</v>
      </c>
      <c r="M387" s="26" t="s">
        <v>171</v>
      </c>
      <c r="N387" s="26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</row>
    <row r="388" ht="15.75" customHeight="1">
      <c r="A388" s="26">
        <v>387.0</v>
      </c>
      <c r="B388" s="17">
        <v>45868.0</v>
      </c>
      <c r="C388" s="26" t="s">
        <v>145</v>
      </c>
      <c r="D388" s="26"/>
      <c r="E388" s="26"/>
      <c r="F388" s="26" t="s">
        <v>39</v>
      </c>
      <c r="G388" s="27">
        <v>21000.0</v>
      </c>
      <c r="H388" s="26"/>
      <c r="I388" s="26" t="s">
        <v>1436</v>
      </c>
      <c r="J388" s="26"/>
      <c r="K388" s="26" t="s">
        <v>45</v>
      </c>
      <c r="L388" s="26" t="s">
        <v>47</v>
      </c>
      <c r="M388" s="26" t="s">
        <v>171</v>
      </c>
      <c r="N388" s="26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</row>
    <row r="389" ht="15.75" customHeight="1">
      <c r="A389" s="26">
        <v>388.0</v>
      </c>
      <c r="B389" s="17">
        <v>45868.0</v>
      </c>
      <c r="C389" s="26" t="s">
        <v>145</v>
      </c>
      <c r="D389" s="26"/>
      <c r="E389" s="26" t="s">
        <v>1437</v>
      </c>
      <c r="F389" s="26" t="s">
        <v>39</v>
      </c>
      <c r="G389" s="27">
        <v>5100.0</v>
      </c>
      <c r="H389" s="26"/>
      <c r="I389" s="26" t="s">
        <v>1438</v>
      </c>
      <c r="J389" s="26"/>
      <c r="K389" s="26" t="s">
        <v>45</v>
      </c>
      <c r="L389" s="26" t="s">
        <v>47</v>
      </c>
      <c r="M389" s="26" t="s">
        <v>171</v>
      </c>
      <c r="N389" s="26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</row>
    <row r="390" ht="15.75" customHeight="1">
      <c r="A390" s="26">
        <v>389.0</v>
      </c>
      <c r="B390" s="17">
        <v>45880.0</v>
      </c>
      <c r="C390" s="26" t="s">
        <v>1439</v>
      </c>
      <c r="D390" s="26"/>
      <c r="E390" s="26" t="s">
        <v>219</v>
      </c>
      <c r="F390" s="26" t="s">
        <v>39</v>
      </c>
      <c r="G390" s="27">
        <v>2100.0</v>
      </c>
      <c r="H390" s="26"/>
      <c r="I390" s="26" t="s">
        <v>1440</v>
      </c>
      <c r="J390" s="26"/>
      <c r="K390" s="26" t="s">
        <v>45</v>
      </c>
      <c r="L390" s="26" t="s">
        <v>47</v>
      </c>
      <c r="M390" s="26" t="s">
        <v>171</v>
      </c>
      <c r="N390" s="26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</row>
    <row r="391" ht="15.75" customHeight="1">
      <c r="A391" s="26">
        <v>390.0</v>
      </c>
      <c r="B391" s="17">
        <v>45881.0</v>
      </c>
      <c r="C391" s="26" t="s">
        <v>1441</v>
      </c>
      <c r="D391" s="26"/>
      <c r="E391" s="26" t="s">
        <v>1225</v>
      </c>
      <c r="F391" s="26" t="s">
        <v>39</v>
      </c>
      <c r="G391" s="27">
        <v>500.0</v>
      </c>
      <c r="H391" s="26"/>
      <c r="I391" s="26" t="s">
        <v>1442</v>
      </c>
      <c r="J391" s="26"/>
      <c r="K391" s="26" t="s">
        <v>45</v>
      </c>
      <c r="L391" s="26" t="s">
        <v>47</v>
      </c>
      <c r="M391" s="26" t="s">
        <v>171</v>
      </c>
      <c r="N391" s="26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</row>
    <row r="392" ht="15.75" customHeight="1">
      <c r="A392" s="26">
        <v>391.0</v>
      </c>
      <c r="B392" s="17">
        <v>45881.0</v>
      </c>
      <c r="C392" s="26" t="s">
        <v>1443</v>
      </c>
      <c r="D392" s="26"/>
      <c r="E392" s="26" t="s">
        <v>203</v>
      </c>
      <c r="F392" s="26" t="s">
        <v>39</v>
      </c>
      <c r="G392" s="27">
        <v>2100.0</v>
      </c>
      <c r="H392" s="26"/>
      <c r="I392" s="26" t="s">
        <v>1444</v>
      </c>
      <c r="J392" s="26"/>
      <c r="K392" s="26" t="s">
        <v>45</v>
      </c>
      <c r="L392" s="26" t="s">
        <v>47</v>
      </c>
      <c r="M392" s="26" t="s">
        <v>171</v>
      </c>
      <c r="N392" s="26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</row>
    <row r="393" ht="15.75" customHeight="1">
      <c r="A393" s="26">
        <v>392.0</v>
      </c>
      <c r="B393" s="17">
        <v>45889.0</v>
      </c>
      <c r="C393" s="26" t="s">
        <v>1445</v>
      </c>
      <c r="D393" s="26"/>
      <c r="E393" s="26" t="s">
        <v>1446</v>
      </c>
      <c r="F393" s="26" t="s">
        <v>39</v>
      </c>
      <c r="G393" s="27">
        <v>11000.0</v>
      </c>
      <c r="H393" s="26"/>
      <c r="I393" s="26" t="s">
        <v>1447</v>
      </c>
      <c r="J393" s="26"/>
      <c r="K393" s="26" t="s">
        <v>45</v>
      </c>
      <c r="L393" s="26" t="s">
        <v>47</v>
      </c>
      <c r="M393" s="26" t="s">
        <v>171</v>
      </c>
      <c r="N393" s="26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</row>
    <row r="394" ht="15.75" customHeight="1">
      <c r="A394" s="26">
        <v>393.0</v>
      </c>
      <c r="B394" s="17">
        <v>45889.0</v>
      </c>
      <c r="C394" s="26" t="s">
        <v>1448</v>
      </c>
      <c r="D394" s="26"/>
      <c r="E394" s="26" t="s">
        <v>1449</v>
      </c>
      <c r="F394" s="26" t="s">
        <v>39</v>
      </c>
      <c r="G394" s="27">
        <v>1000.0</v>
      </c>
      <c r="H394" s="26"/>
      <c r="I394" s="26" t="s">
        <v>1450</v>
      </c>
      <c r="J394" s="26"/>
      <c r="K394" s="26" t="s">
        <v>45</v>
      </c>
      <c r="L394" s="26" t="s">
        <v>47</v>
      </c>
      <c r="M394" s="26" t="s">
        <v>171</v>
      </c>
      <c r="N394" s="26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</row>
    <row r="395" ht="15.75" customHeight="1">
      <c r="A395" s="26">
        <v>394.0</v>
      </c>
      <c r="B395" s="17">
        <v>45889.0</v>
      </c>
      <c r="C395" s="26" t="s">
        <v>145</v>
      </c>
      <c r="D395" s="26"/>
      <c r="E395" s="26" t="s">
        <v>1451</v>
      </c>
      <c r="F395" s="26" t="s">
        <v>39</v>
      </c>
      <c r="G395" s="27">
        <v>3100.0</v>
      </c>
      <c r="H395" s="26"/>
      <c r="I395" s="26" t="s">
        <v>1452</v>
      </c>
      <c r="J395" s="26"/>
      <c r="K395" s="26" t="s">
        <v>45</v>
      </c>
      <c r="L395" s="26" t="s">
        <v>47</v>
      </c>
      <c r="M395" s="26" t="s">
        <v>171</v>
      </c>
      <c r="N395" s="26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</row>
    <row r="396" ht="15.75" customHeight="1">
      <c r="A396" s="26">
        <v>395.0</v>
      </c>
      <c r="B396" s="17">
        <v>45889.0</v>
      </c>
      <c r="C396" s="26" t="s">
        <v>1453</v>
      </c>
      <c r="D396" s="26"/>
      <c r="E396" s="26" t="s">
        <v>1293</v>
      </c>
      <c r="F396" s="26" t="s">
        <v>39</v>
      </c>
      <c r="G396" s="27">
        <v>2100.0</v>
      </c>
      <c r="H396" s="26"/>
      <c r="I396" s="26" t="s">
        <v>1454</v>
      </c>
      <c r="J396" s="26"/>
      <c r="K396" s="26" t="s">
        <v>45</v>
      </c>
      <c r="L396" s="26" t="s">
        <v>47</v>
      </c>
      <c r="M396" s="26" t="s">
        <v>171</v>
      </c>
      <c r="N396" s="26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</row>
    <row r="397" ht="15.75" customHeight="1">
      <c r="A397" s="26">
        <v>396.0</v>
      </c>
      <c r="B397" s="17">
        <v>45889.0</v>
      </c>
      <c r="C397" s="26" t="s">
        <v>1433</v>
      </c>
      <c r="D397" s="26"/>
      <c r="E397" s="26" t="s">
        <v>1455</v>
      </c>
      <c r="F397" s="26" t="s">
        <v>39</v>
      </c>
      <c r="G397" s="27">
        <v>1000.0</v>
      </c>
      <c r="H397" s="26"/>
      <c r="I397" s="26" t="s">
        <v>1456</v>
      </c>
      <c r="J397" s="26"/>
      <c r="K397" s="26" t="s">
        <v>45</v>
      </c>
      <c r="L397" s="26" t="s">
        <v>47</v>
      </c>
      <c r="M397" s="26" t="s">
        <v>171</v>
      </c>
      <c r="N397" s="26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</row>
    <row r="398" ht="15.75" customHeight="1">
      <c r="A398" s="26">
        <v>397.0</v>
      </c>
      <c r="B398" s="17">
        <v>45878.0</v>
      </c>
      <c r="C398" s="26" t="s">
        <v>1457</v>
      </c>
      <c r="D398" s="26"/>
      <c r="E398" s="26" t="s">
        <v>200</v>
      </c>
      <c r="F398" s="26" t="s">
        <v>39</v>
      </c>
      <c r="G398" s="27">
        <v>5100.0</v>
      </c>
      <c r="H398" s="26"/>
      <c r="I398" s="26" t="s">
        <v>1458</v>
      </c>
      <c r="J398" s="26"/>
      <c r="K398" s="26" t="s">
        <v>45</v>
      </c>
      <c r="L398" s="26" t="s">
        <v>47</v>
      </c>
      <c r="M398" s="26" t="s">
        <v>171</v>
      </c>
      <c r="N398" s="26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</row>
    <row r="399" ht="15.75" customHeight="1">
      <c r="A399" s="26">
        <v>398.0</v>
      </c>
      <c r="B399" s="17">
        <v>45866.0</v>
      </c>
      <c r="C399" s="26" t="s">
        <v>1459</v>
      </c>
      <c r="D399" s="26"/>
      <c r="E399" s="26" t="s">
        <v>1460</v>
      </c>
      <c r="F399" s="26" t="s">
        <v>39</v>
      </c>
      <c r="G399" s="27">
        <v>500.0</v>
      </c>
      <c r="H399" s="26"/>
      <c r="I399" s="26" t="s">
        <v>1461</v>
      </c>
      <c r="J399" s="26"/>
      <c r="K399" s="26" t="s">
        <v>45</v>
      </c>
      <c r="L399" s="26" t="s">
        <v>47</v>
      </c>
      <c r="M399" s="26" t="s">
        <v>313</v>
      </c>
      <c r="N399" s="26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</row>
    <row r="400" ht="15.75" customHeight="1">
      <c r="A400" s="26">
        <v>399.0</v>
      </c>
      <c r="B400" s="17">
        <v>45866.0</v>
      </c>
      <c r="C400" s="26" t="s">
        <v>496</v>
      </c>
      <c r="D400" s="26"/>
      <c r="E400" s="26" t="s">
        <v>1462</v>
      </c>
      <c r="F400" s="26" t="s">
        <v>39</v>
      </c>
      <c r="G400" s="27">
        <v>11000.0</v>
      </c>
      <c r="H400" s="26"/>
      <c r="I400" s="26" t="s">
        <v>1463</v>
      </c>
      <c r="J400" s="26"/>
      <c r="K400" s="26" t="s">
        <v>45</v>
      </c>
      <c r="L400" s="26" t="s">
        <v>47</v>
      </c>
      <c r="M400" s="26" t="s">
        <v>313</v>
      </c>
      <c r="N400" s="26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</row>
    <row r="401" ht="15.75" customHeight="1">
      <c r="A401" s="26">
        <v>400.0</v>
      </c>
      <c r="B401" s="17">
        <v>45872.0</v>
      </c>
      <c r="C401" s="26" t="s">
        <v>1464</v>
      </c>
      <c r="D401" s="26"/>
      <c r="E401" s="26" t="s">
        <v>1465</v>
      </c>
      <c r="F401" s="26" t="s">
        <v>39</v>
      </c>
      <c r="G401" s="27">
        <v>5100.0</v>
      </c>
      <c r="H401" s="26"/>
      <c r="I401" s="26" t="s">
        <v>1466</v>
      </c>
      <c r="J401" s="26"/>
      <c r="K401" s="26" t="s">
        <v>45</v>
      </c>
      <c r="L401" s="26" t="s">
        <v>47</v>
      </c>
      <c r="M401" s="26" t="s">
        <v>313</v>
      </c>
      <c r="N401" s="26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</row>
    <row r="402" ht="15.75" customHeight="1">
      <c r="A402" s="26">
        <v>401.0</v>
      </c>
      <c r="B402" s="17">
        <v>45872.0</v>
      </c>
      <c r="C402" s="26" t="s">
        <v>1467</v>
      </c>
      <c r="D402" s="26"/>
      <c r="E402" s="26" t="s">
        <v>752</v>
      </c>
      <c r="F402" s="26" t="s">
        <v>39</v>
      </c>
      <c r="G402" s="27">
        <v>10000.0</v>
      </c>
      <c r="H402" s="26"/>
      <c r="I402" s="26" t="s">
        <v>1468</v>
      </c>
      <c r="J402" s="26"/>
      <c r="K402" s="26" t="s">
        <v>45</v>
      </c>
      <c r="L402" s="26" t="s">
        <v>47</v>
      </c>
      <c r="M402" s="26" t="s">
        <v>313</v>
      </c>
      <c r="N402" s="26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</row>
    <row r="403" ht="15.75" customHeight="1">
      <c r="A403" s="26">
        <v>402.0</v>
      </c>
      <c r="B403" s="17">
        <v>45874.0</v>
      </c>
      <c r="C403" s="26" t="s">
        <v>1469</v>
      </c>
      <c r="D403" s="26"/>
      <c r="E403" s="26" t="s">
        <v>200</v>
      </c>
      <c r="F403" s="26" t="s">
        <v>39</v>
      </c>
      <c r="G403" s="27">
        <v>1100.0</v>
      </c>
      <c r="H403" s="26"/>
      <c r="I403" s="26" t="s">
        <v>1470</v>
      </c>
      <c r="J403" s="26"/>
      <c r="K403" s="26" t="s">
        <v>45</v>
      </c>
      <c r="L403" s="26" t="s">
        <v>47</v>
      </c>
      <c r="M403" s="26" t="s">
        <v>313</v>
      </c>
      <c r="N403" s="26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</row>
    <row r="404" ht="15.75" customHeight="1">
      <c r="A404" s="26">
        <v>403.0</v>
      </c>
      <c r="B404" s="17">
        <v>45874.0</v>
      </c>
      <c r="C404" s="26" t="s">
        <v>1471</v>
      </c>
      <c r="D404" s="26"/>
      <c r="E404" s="26"/>
      <c r="F404" s="26" t="s">
        <v>39</v>
      </c>
      <c r="G404" s="27">
        <v>500.0</v>
      </c>
      <c r="H404" s="26"/>
      <c r="I404" s="26" t="s">
        <v>1472</v>
      </c>
      <c r="J404" s="26"/>
      <c r="K404" s="26" t="s">
        <v>45</v>
      </c>
      <c r="L404" s="26" t="s">
        <v>47</v>
      </c>
      <c r="M404" s="26" t="s">
        <v>313</v>
      </c>
      <c r="N404" s="26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</row>
    <row r="405" ht="15.75" customHeight="1">
      <c r="A405" s="26">
        <v>404.0</v>
      </c>
      <c r="B405" s="17">
        <v>45886.0</v>
      </c>
      <c r="C405" s="26" t="s">
        <v>145</v>
      </c>
      <c r="D405" s="26"/>
      <c r="E405" s="26"/>
      <c r="F405" s="26" t="s">
        <v>39</v>
      </c>
      <c r="G405" s="27">
        <v>1000.0</v>
      </c>
      <c r="H405" s="26"/>
      <c r="I405" s="26" t="s">
        <v>1473</v>
      </c>
      <c r="J405" s="26"/>
      <c r="K405" s="26" t="s">
        <v>45</v>
      </c>
      <c r="L405" s="26" t="s">
        <v>47</v>
      </c>
      <c r="M405" s="26" t="s">
        <v>313</v>
      </c>
      <c r="N405" s="26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</row>
    <row r="406" ht="15.75" customHeight="1">
      <c r="A406" s="26">
        <v>405.0</v>
      </c>
      <c r="B406" s="17">
        <v>45894.0</v>
      </c>
      <c r="C406" s="26" t="s">
        <v>1474</v>
      </c>
      <c r="D406" s="26"/>
      <c r="E406" s="26" t="s">
        <v>1475</v>
      </c>
      <c r="F406" s="26" t="s">
        <v>39</v>
      </c>
      <c r="G406" s="27">
        <v>5100.0</v>
      </c>
      <c r="H406" s="26"/>
      <c r="I406" s="26" t="s">
        <v>1476</v>
      </c>
      <c r="J406" s="26"/>
      <c r="K406" s="26" t="s">
        <v>45</v>
      </c>
      <c r="L406" s="26" t="s">
        <v>47</v>
      </c>
      <c r="M406" s="26" t="s">
        <v>313</v>
      </c>
      <c r="N406" s="26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</row>
    <row r="407" ht="15.75" customHeight="1">
      <c r="A407" s="26">
        <v>406.0</v>
      </c>
      <c r="B407" s="17">
        <v>45884.0</v>
      </c>
      <c r="C407" s="26" t="s">
        <v>1477</v>
      </c>
      <c r="D407" s="26"/>
      <c r="E407" s="26" t="s">
        <v>1478</v>
      </c>
      <c r="F407" s="26" t="s">
        <v>39</v>
      </c>
      <c r="G407" s="27">
        <v>2500.0</v>
      </c>
      <c r="H407" s="26"/>
      <c r="I407" s="26" t="s">
        <v>1479</v>
      </c>
      <c r="J407" s="26"/>
      <c r="K407" s="26" t="s">
        <v>45</v>
      </c>
      <c r="L407" s="26" t="s">
        <v>47</v>
      </c>
      <c r="M407" s="26" t="s">
        <v>121</v>
      </c>
      <c r="N407" s="26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</row>
    <row r="408" ht="15.75" customHeight="1">
      <c r="A408" s="26">
        <v>407.0</v>
      </c>
      <c r="B408" s="17">
        <v>45884.0</v>
      </c>
      <c r="C408" s="26" t="s">
        <v>1250</v>
      </c>
      <c r="D408" s="26"/>
      <c r="E408" s="26" t="s">
        <v>1480</v>
      </c>
      <c r="F408" s="26" t="s">
        <v>39</v>
      </c>
      <c r="G408" s="27">
        <v>500.0</v>
      </c>
      <c r="H408" s="26"/>
      <c r="I408" s="26" t="s">
        <v>1463</v>
      </c>
      <c r="J408" s="26"/>
      <c r="K408" s="26" t="s">
        <v>45</v>
      </c>
      <c r="L408" s="26" t="s">
        <v>47</v>
      </c>
      <c r="M408" s="26" t="s">
        <v>121</v>
      </c>
      <c r="N408" s="26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</row>
    <row r="409" ht="15.75" customHeight="1">
      <c r="A409" s="26">
        <v>408.0</v>
      </c>
      <c r="B409" s="17">
        <v>45894.0</v>
      </c>
      <c r="C409" s="26" t="s">
        <v>1481</v>
      </c>
      <c r="D409" s="26"/>
      <c r="E409" s="26" t="s">
        <v>1482</v>
      </c>
      <c r="F409" s="26" t="s">
        <v>39</v>
      </c>
      <c r="G409" s="27">
        <v>1100.0</v>
      </c>
      <c r="H409" s="26"/>
      <c r="I409" s="26" t="s">
        <v>1483</v>
      </c>
      <c r="J409" s="26"/>
      <c r="K409" s="26" t="s">
        <v>45</v>
      </c>
      <c r="L409" s="26" t="s">
        <v>47</v>
      </c>
      <c r="M409" s="26" t="s">
        <v>121</v>
      </c>
      <c r="N409" s="26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</row>
    <row r="410" ht="15.75" customHeight="1">
      <c r="A410" s="26">
        <v>409.0</v>
      </c>
      <c r="B410" s="17">
        <v>45894.0</v>
      </c>
      <c r="C410" s="26" t="s">
        <v>1484</v>
      </c>
      <c r="D410" s="26"/>
      <c r="E410" s="26" t="s">
        <v>1482</v>
      </c>
      <c r="F410" s="26" t="s">
        <v>39</v>
      </c>
      <c r="G410" s="27">
        <v>5100.0</v>
      </c>
      <c r="H410" s="26"/>
      <c r="I410" s="26" t="s">
        <v>1485</v>
      </c>
      <c r="J410" s="26"/>
      <c r="K410" s="26" t="s">
        <v>45</v>
      </c>
      <c r="L410" s="26" t="s">
        <v>47</v>
      </c>
      <c r="M410" s="26" t="s">
        <v>121</v>
      </c>
      <c r="N410" s="26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</row>
    <row r="411" ht="15.75" customHeight="1">
      <c r="A411" s="26">
        <v>410.0</v>
      </c>
      <c r="B411" s="17">
        <v>45894.0</v>
      </c>
      <c r="C411" s="26" t="s">
        <v>1486</v>
      </c>
      <c r="D411" s="26"/>
      <c r="E411" s="26" t="s">
        <v>1487</v>
      </c>
      <c r="F411" s="26" t="s">
        <v>39</v>
      </c>
      <c r="G411" s="27">
        <v>3100.0</v>
      </c>
      <c r="H411" s="26"/>
      <c r="I411" s="26" t="s">
        <v>1488</v>
      </c>
      <c r="J411" s="26"/>
      <c r="K411" s="26" t="s">
        <v>45</v>
      </c>
      <c r="L411" s="26" t="s">
        <v>47</v>
      </c>
      <c r="M411" s="26" t="s">
        <v>121</v>
      </c>
      <c r="N411" s="26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</row>
    <row r="412" ht="15.75" customHeight="1">
      <c r="A412" s="26">
        <v>411.0</v>
      </c>
      <c r="B412" s="17">
        <v>45894.0</v>
      </c>
      <c r="C412" s="26" t="s">
        <v>1489</v>
      </c>
      <c r="D412" s="26"/>
      <c r="E412" s="26" t="s">
        <v>1490</v>
      </c>
      <c r="F412" s="26" t="s">
        <v>39</v>
      </c>
      <c r="G412" s="27">
        <v>1100.0</v>
      </c>
      <c r="H412" s="26"/>
      <c r="I412" s="26" t="s">
        <v>1491</v>
      </c>
      <c r="J412" s="26"/>
      <c r="K412" s="26" t="s">
        <v>45</v>
      </c>
      <c r="L412" s="26" t="s">
        <v>47</v>
      </c>
      <c r="M412" s="26" t="s">
        <v>54</v>
      </c>
      <c r="N412" s="26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</row>
    <row r="413" ht="15.75" customHeight="1">
      <c r="A413" s="26">
        <v>412.0</v>
      </c>
      <c r="B413" s="17">
        <v>45896.0</v>
      </c>
      <c r="C413" s="26" t="s">
        <v>1492</v>
      </c>
      <c r="D413" s="26"/>
      <c r="E413" s="26" t="s">
        <v>1493</v>
      </c>
      <c r="F413" s="26" t="s">
        <v>39</v>
      </c>
      <c r="G413" s="27">
        <v>11000.0</v>
      </c>
      <c r="H413" s="26"/>
      <c r="I413" s="26" t="s">
        <v>1494</v>
      </c>
      <c r="J413" s="26"/>
      <c r="K413" s="26" t="s">
        <v>45</v>
      </c>
      <c r="L413" s="26" t="s">
        <v>47</v>
      </c>
      <c r="M413" s="26" t="s">
        <v>61</v>
      </c>
      <c r="N413" s="26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</row>
    <row r="414" ht="15.75" customHeight="1">
      <c r="A414" s="26">
        <v>413.0</v>
      </c>
      <c r="B414" s="17">
        <v>45913.0</v>
      </c>
      <c r="C414" s="26" t="s">
        <v>1495</v>
      </c>
      <c r="D414" s="26"/>
      <c r="E414" s="26" t="s">
        <v>1496</v>
      </c>
      <c r="F414" s="26" t="s">
        <v>39</v>
      </c>
      <c r="G414" s="27">
        <v>11000.0</v>
      </c>
      <c r="H414" s="26"/>
      <c r="I414" s="26" t="s">
        <v>1497</v>
      </c>
      <c r="J414" s="26"/>
      <c r="K414" s="26" t="s">
        <v>45</v>
      </c>
      <c r="L414" s="26" t="s">
        <v>47</v>
      </c>
      <c r="M414" s="26" t="s">
        <v>61</v>
      </c>
      <c r="N414" s="26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</row>
    <row r="415" ht="15.75" customHeight="1">
      <c r="A415" s="26">
        <v>414.0</v>
      </c>
      <c r="B415" s="17">
        <v>45911.0</v>
      </c>
      <c r="C415" s="26" t="s">
        <v>1498</v>
      </c>
      <c r="D415" s="26"/>
      <c r="E415" s="26"/>
      <c r="F415" s="26" t="s">
        <v>39</v>
      </c>
      <c r="G415" s="27">
        <v>11436.0</v>
      </c>
      <c r="H415" s="26"/>
      <c r="I415" s="26" t="s">
        <v>1499</v>
      </c>
      <c r="J415" s="26"/>
      <c r="K415" s="26" t="s">
        <v>603</v>
      </c>
      <c r="L415" s="26" t="s">
        <v>47</v>
      </c>
      <c r="M415" s="26" t="s">
        <v>866</v>
      </c>
      <c r="N415" s="92" t="s">
        <v>1500</v>
      </c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</row>
    <row r="416" ht="15.75" customHeight="1">
      <c r="A416" s="26">
        <v>415.0</v>
      </c>
      <c r="B416" s="17">
        <v>45928.0</v>
      </c>
      <c r="C416" s="26" t="s">
        <v>1501</v>
      </c>
      <c r="D416" s="26"/>
      <c r="E416" s="26" t="s">
        <v>1502</v>
      </c>
      <c r="F416" s="26" t="s">
        <v>39</v>
      </c>
      <c r="G416" s="27">
        <v>1100.0</v>
      </c>
      <c r="H416" s="26"/>
      <c r="I416" s="26" t="s">
        <v>1503</v>
      </c>
      <c r="J416" s="26"/>
      <c r="K416" s="26" t="s">
        <v>45</v>
      </c>
      <c r="L416" s="26" t="s">
        <v>47</v>
      </c>
      <c r="M416" s="26" t="s">
        <v>61</v>
      </c>
      <c r="N416" s="26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</row>
    <row r="417" ht="15.75" customHeight="1">
      <c r="A417" s="26">
        <v>416.0</v>
      </c>
      <c r="B417" s="17">
        <v>45923.0</v>
      </c>
      <c r="C417" s="26" t="s">
        <v>545</v>
      </c>
      <c r="D417" s="26"/>
      <c r="E417" s="26"/>
      <c r="F417" s="26" t="s">
        <v>39</v>
      </c>
      <c r="G417" s="27">
        <v>5100.0</v>
      </c>
      <c r="H417" s="26"/>
      <c r="I417" s="26" t="s">
        <v>1504</v>
      </c>
      <c r="J417" s="26"/>
      <c r="K417" s="26" t="s">
        <v>45</v>
      </c>
      <c r="L417" s="26" t="s">
        <v>47</v>
      </c>
      <c r="M417" s="26" t="s">
        <v>61</v>
      </c>
      <c r="N417" s="26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</row>
    <row r="418" ht="15.75" customHeight="1">
      <c r="A418" s="26">
        <v>417.0</v>
      </c>
      <c r="B418" s="17">
        <v>45923.0</v>
      </c>
      <c r="C418" s="26" t="s">
        <v>1505</v>
      </c>
      <c r="D418" s="26"/>
      <c r="E418" s="26"/>
      <c r="F418" s="26" t="s">
        <v>39</v>
      </c>
      <c r="G418" s="27">
        <v>501.0</v>
      </c>
      <c r="H418" s="26"/>
      <c r="I418" s="26" t="s">
        <v>1506</v>
      </c>
      <c r="J418" s="26"/>
      <c r="K418" s="26" t="s">
        <v>45</v>
      </c>
      <c r="L418" s="26" t="s">
        <v>47</v>
      </c>
      <c r="M418" s="26" t="s">
        <v>61</v>
      </c>
      <c r="N418" s="26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</row>
    <row r="419" ht="15.75" customHeight="1">
      <c r="A419" s="26">
        <v>418.0</v>
      </c>
      <c r="B419" s="17">
        <v>45932.0</v>
      </c>
      <c r="C419" s="26" t="s">
        <v>866</v>
      </c>
      <c r="D419" s="26"/>
      <c r="E419" s="26"/>
      <c r="F419" s="26" t="s">
        <v>39</v>
      </c>
      <c r="G419" s="27">
        <v>6600.0</v>
      </c>
      <c r="H419" s="26"/>
      <c r="I419" s="26" t="s">
        <v>1507</v>
      </c>
      <c r="J419" s="26"/>
      <c r="K419" s="26" t="s">
        <v>45</v>
      </c>
      <c r="L419" s="26" t="s">
        <v>47</v>
      </c>
      <c r="M419" s="26" t="s">
        <v>61</v>
      </c>
      <c r="N419" s="26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</row>
    <row r="420" ht="15.75" customHeight="1">
      <c r="A420" s="26">
        <v>419.0</v>
      </c>
      <c r="B420" s="17">
        <v>45942.0</v>
      </c>
      <c r="C420" s="26" t="s">
        <v>1508</v>
      </c>
      <c r="D420" s="26"/>
      <c r="E420" s="26" t="s">
        <v>1509</v>
      </c>
      <c r="F420" s="26" t="s">
        <v>39</v>
      </c>
      <c r="G420" s="27">
        <v>11000.0</v>
      </c>
      <c r="H420" s="26"/>
      <c r="I420" s="26" t="s">
        <v>1510</v>
      </c>
      <c r="J420" s="26"/>
      <c r="K420" s="26" t="s">
        <v>45</v>
      </c>
      <c r="L420" s="26" t="s">
        <v>47</v>
      </c>
      <c r="M420" s="26" t="s">
        <v>121</v>
      </c>
      <c r="N420" s="26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</row>
    <row r="421" ht="15.75" customHeight="1">
      <c r="A421" s="26">
        <v>420.0</v>
      </c>
      <c r="B421" s="17">
        <v>45941.0</v>
      </c>
      <c r="C421" s="33" t="s">
        <v>145</v>
      </c>
      <c r="D421" s="26"/>
      <c r="E421" s="26" t="s">
        <v>1511</v>
      </c>
      <c r="F421" s="26" t="s">
        <v>39</v>
      </c>
      <c r="G421" s="27">
        <v>2100.0</v>
      </c>
      <c r="H421" s="26"/>
      <c r="I421" s="26" t="s">
        <v>1512</v>
      </c>
      <c r="J421" s="26"/>
      <c r="K421" s="26" t="s">
        <v>45</v>
      </c>
      <c r="L421" s="26" t="s">
        <v>47</v>
      </c>
      <c r="M421" s="26" t="s">
        <v>121</v>
      </c>
      <c r="N421" s="26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</row>
    <row r="422" ht="15.75" customHeight="1">
      <c r="A422" s="26">
        <v>421.0</v>
      </c>
      <c r="B422" s="17">
        <v>45952.0</v>
      </c>
      <c r="C422" s="26" t="s">
        <v>1513</v>
      </c>
      <c r="D422" s="26"/>
      <c r="E422" s="26" t="s">
        <v>1514</v>
      </c>
      <c r="F422" s="26" t="s">
        <v>39</v>
      </c>
      <c r="G422" s="27">
        <v>5100.0</v>
      </c>
      <c r="H422" s="26"/>
      <c r="I422" s="26" t="s">
        <v>1515</v>
      </c>
      <c r="J422" s="26"/>
      <c r="K422" s="26" t="s">
        <v>45</v>
      </c>
      <c r="L422" s="26" t="s">
        <v>47</v>
      </c>
      <c r="M422" s="26" t="s">
        <v>121</v>
      </c>
      <c r="N422" s="26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</row>
    <row r="423" ht="15.75" customHeight="1">
      <c r="A423" s="26">
        <v>422.0</v>
      </c>
      <c r="B423" s="17">
        <v>45951.0</v>
      </c>
      <c r="C423" s="26" t="s">
        <v>1516</v>
      </c>
      <c r="D423" s="26"/>
      <c r="E423" s="26" t="s">
        <v>1517</v>
      </c>
      <c r="F423" s="26" t="s">
        <v>39</v>
      </c>
      <c r="G423" s="27">
        <v>1000.0</v>
      </c>
      <c r="H423" s="26"/>
      <c r="I423" s="26" t="s">
        <v>1518</v>
      </c>
      <c r="J423" s="26"/>
      <c r="K423" s="26" t="s">
        <v>45</v>
      </c>
      <c r="L423" s="26" t="s">
        <v>47</v>
      </c>
      <c r="M423" s="26" t="s">
        <v>121</v>
      </c>
      <c r="N423" s="26" t="s">
        <v>1519</v>
      </c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</row>
    <row r="424" ht="15.75" customHeight="1">
      <c r="A424" s="26">
        <v>423.0</v>
      </c>
      <c r="B424" s="17">
        <v>45951.0</v>
      </c>
      <c r="C424" s="26" t="s">
        <v>1520</v>
      </c>
      <c r="D424" s="26"/>
      <c r="E424" s="26" t="s">
        <v>1348</v>
      </c>
      <c r="F424" s="26" t="s">
        <v>39</v>
      </c>
      <c r="G424" s="27">
        <v>1300.0</v>
      </c>
      <c r="H424" s="26"/>
      <c r="I424" s="26" t="s">
        <v>1521</v>
      </c>
      <c r="J424" s="26"/>
      <c r="K424" s="26" t="s">
        <v>45</v>
      </c>
      <c r="L424" s="26" t="s">
        <v>47</v>
      </c>
      <c r="M424" s="26" t="s">
        <v>121</v>
      </c>
      <c r="N424" s="26" t="s">
        <v>1519</v>
      </c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</row>
    <row r="425" ht="15.75" customHeight="1">
      <c r="A425" s="26">
        <v>424.0</v>
      </c>
      <c r="B425" s="17">
        <v>45952.0</v>
      </c>
      <c r="C425" s="26" t="s">
        <v>367</v>
      </c>
      <c r="D425" s="26"/>
      <c r="E425" s="26"/>
      <c r="F425" s="26" t="s">
        <v>39</v>
      </c>
      <c r="G425" s="27">
        <v>500.0</v>
      </c>
      <c r="H425" s="26"/>
      <c r="I425" s="26" t="s">
        <v>1522</v>
      </c>
      <c r="J425" s="26"/>
      <c r="K425" s="26" t="s">
        <v>45</v>
      </c>
      <c r="L425" s="26" t="s">
        <v>47</v>
      </c>
      <c r="M425" s="26" t="s">
        <v>121</v>
      </c>
      <c r="N425" s="26" t="s">
        <v>1519</v>
      </c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</row>
    <row r="426" ht="15.75" customHeight="1">
      <c r="A426" s="26">
        <v>425.0</v>
      </c>
      <c r="B426" s="17">
        <v>45952.0</v>
      </c>
      <c r="C426" s="26" t="s">
        <v>1523</v>
      </c>
      <c r="D426" s="26"/>
      <c r="E426" s="26" t="s">
        <v>1524</v>
      </c>
      <c r="F426" s="26" t="s">
        <v>39</v>
      </c>
      <c r="G426" s="27">
        <v>1100.0</v>
      </c>
      <c r="H426" s="26"/>
      <c r="I426" s="26" t="s">
        <v>1525</v>
      </c>
      <c r="J426" s="26"/>
      <c r="K426" s="26" t="s">
        <v>45</v>
      </c>
      <c r="L426" s="26" t="s">
        <v>47</v>
      </c>
      <c r="M426" s="26" t="s">
        <v>121</v>
      </c>
      <c r="N426" s="26" t="s">
        <v>1519</v>
      </c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</row>
    <row r="427" ht="15.75" customHeight="1">
      <c r="A427" s="26">
        <v>426.0</v>
      </c>
      <c r="B427" s="17">
        <v>45952.0</v>
      </c>
      <c r="C427" s="26" t="s">
        <v>1526</v>
      </c>
      <c r="D427" s="26"/>
      <c r="E427" s="26" t="s">
        <v>1527</v>
      </c>
      <c r="F427" s="26" t="s">
        <v>39</v>
      </c>
      <c r="G427" s="27">
        <v>251.0</v>
      </c>
      <c r="H427" s="26"/>
      <c r="I427" s="26" t="s">
        <v>1528</v>
      </c>
      <c r="J427" s="26"/>
      <c r="K427" s="26" t="s">
        <v>45</v>
      </c>
      <c r="L427" s="26" t="s">
        <v>47</v>
      </c>
      <c r="M427" s="26" t="s">
        <v>121</v>
      </c>
      <c r="N427" s="26" t="s">
        <v>1519</v>
      </c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</row>
    <row r="428" ht="15.75" customHeight="1">
      <c r="A428" s="26">
        <v>427.0</v>
      </c>
      <c r="B428" s="17">
        <v>45952.0</v>
      </c>
      <c r="C428" s="26" t="s">
        <v>1529</v>
      </c>
      <c r="D428" s="26"/>
      <c r="E428" s="26"/>
      <c r="F428" s="26" t="s">
        <v>39</v>
      </c>
      <c r="G428" s="27">
        <v>500.0</v>
      </c>
      <c r="H428" s="26"/>
      <c r="I428" s="26" t="s">
        <v>1530</v>
      </c>
      <c r="J428" s="26"/>
      <c r="K428" s="26" t="s">
        <v>45</v>
      </c>
      <c r="L428" s="26" t="s">
        <v>47</v>
      </c>
      <c r="M428" s="26" t="s">
        <v>121</v>
      </c>
      <c r="N428" s="26" t="s">
        <v>1519</v>
      </c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</row>
    <row r="429" ht="15.75" customHeight="1">
      <c r="A429" s="26">
        <v>428.0</v>
      </c>
      <c r="B429" s="17">
        <v>45952.0</v>
      </c>
      <c r="C429" s="26" t="s">
        <v>145</v>
      </c>
      <c r="D429" s="26"/>
      <c r="E429" s="26"/>
      <c r="F429" s="26" t="s">
        <v>39</v>
      </c>
      <c r="G429" s="27">
        <v>1800.0</v>
      </c>
      <c r="H429" s="26"/>
      <c r="I429" s="26" t="s">
        <v>1531</v>
      </c>
      <c r="J429" s="26"/>
      <c r="K429" s="26" t="s">
        <v>45</v>
      </c>
      <c r="L429" s="26" t="s">
        <v>47</v>
      </c>
      <c r="M429" s="26" t="s">
        <v>121</v>
      </c>
      <c r="N429" s="26" t="s">
        <v>1519</v>
      </c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</row>
    <row r="430" ht="15.75" customHeight="1">
      <c r="A430" s="26">
        <v>429.0</v>
      </c>
      <c r="B430" s="17">
        <v>45952.0</v>
      </c>
      <c r="C430" s="26" t="s">
        <v>1532</v>
      </c>
      <c r="D430" s="26"/>
      <c r="E430" s="26"/>
      <c r="F430" s="26" t="s">
        <v>39</v>
      </c>
      <c r="G430" s="27">
        <v>1000.0</v>
      </c>
      <c r="H430" s="26"/>
      <c r="I430" s="26" t="s">
        <v>1533</v>
      </c>
      <c r="J430" s="26"/>
      <c r="K430" s="26" t="s">
        <v>45</v>
      </c>
      <c r="L430" s="26" t="s">
        <v>47</v>
      </c>
      <c r="M430" s="26" t="s">
        <v>121</v>
      </c>
      <c r="N430" s="26" t="s">
        <v>1519</v>
      </c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</row>
    <row r="431" ht="15.75" customHeight="1">
      <c r="A431" s="26">
        <v>430.0</v>
      </c>
      <c r="B431" s="17">
        <v>45952.0</v>
      </c>
      <c r="C431" s="26" t="s">
        <v>1534</v>
      </c>
      <c r="D431" s="26"/>
      <c r="E431" s="26"/>
      <c r="F431" s="26" t="s">
        <v>39</v>
      </c>
      <c r="G431" s="27">
        <v>1000.0</v>
      </c>
      <c r="H431" s="26"/>
      <c r="I431" s="26" t="s">
        <v>1535</v>
      </c>
      <c r="J431" s="26"/>
      <c r="K431" s="26" t="s">
        <v>45</v>
      </c>
      <c r="L431" s="26" t="s">
        <v>47</v>
      </c>
      <c r="M431" s="26" t="s">
        <v>121</v>
      </c>
      <c r="N431" s="26" t="s">
        <v>1519</v>
      </c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</row>
    <row r="432" ht="15.75" customHeight="1">
      <c r="A432" s="26">
        <v>431.0</v>
      </c>
      <c r="B432" s="17">
        <v>45957.0</v>
      </c>
      <c r="C432" s="26" t="s">
        <v>1536</v>
      </c>
      <c r="D432" s="26"/>
      <c r="E432" s="26" t="s">
        <v>1537</v>
      </c>
      <c r="F432" s="26" t="s">
        <v>39</v>
      </c>
      <c r="G432" s="27">
        <v>5100.0</v>
      </c>
      <c r="H432" s="26"/>
      <c r="I432" s="26" t="s">
        <v>1538</v>
      </c>
      <c r="J432" s="26"/>
      <c r="K432" s="26" t="s">
        <v>45</v>
      </c>
      <c r="L432" s="26" t="s">
        <v>47</v>
      </c>
      <c r="M432" s="26" t="s">
        <v>121</v>
      </c>
      <c r="N432" s="26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</row>
    <row r="433" ht="15.75" customHeight="1">
      <c r="A433" s="26">
        <v>432.0</v>
      </c>
      <c r="B433" s="17">
        <v>45957.0</v>
      </c>
      <c r="C433" s="26" t="s">
        <v>866</v>
      </c>
      <c r="D433" s="26"/>
      <c r="E433" s="26"/>
      <c r="F433" s="26" t="s">
        <v>39</v>
      </c>
      <c r="G433" s="27">
        <v>19841.0</v>
      </c>
      <c r="H433" s="26"/>
      <c r="I433" s="26" t="s">
        <v>1539</v>
      </c>
      <c r="J433" s="26"/>
      <c r="K433" s="26" t="s">
        <v>45</v>
      </c>
      <c r="L433" s="26" t="s">
        <v>47</v>
      </c>
      <c r="M433" s="26" t="s">
        <v>121</v>
      </c>
      <c r="N433" s="26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</row>
    <row r="434" ht="15.75" customHeight="1">
      <c r="A434" s="26">
        <v>433.0</v>
      </c>
      <c r="B434" s="17">
        <v>45961.0</v>
      </c>
      <c r="C434" s="26" t="s">
        <v>1540</v>
      </c>
      <c r="D434" s="26"/>
      <c r="E434" s="26"/>
      <c r="F434" s="26" t="s">
        <v>39</v>
      </c>
      <c r="G434" s="27">
        <v>1100.0</v>
      </c>
      <c r="H434" s="26"/>
      <c r="I434" s="26" t="s">
        <v>1541</v>
      </c>
      <c r="J434" s="26"/>
      <c r="K434" s="26" t="s">
        <v>45</v>
      </c>
      <c r="L434" s="26" t="s">
        <v>47</v>
      </c>
      <c r="M434" s="26" t="s">
        <v>121</v>
      </c>
      <c r="N434" s="26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</row>
    <row r="435" ht="15.75" customHeight="1">
      <c r="A435" s="26">
        <v>434.0</v>
      </c>
      <c r="B435" s="17">
        <v>45958.0</v>
      </c>
      <c r="C435" s="26" t="s">
        <v>1542</v>
      </c>
      <c r="D435" s="26"/>
      <c r="E435" s="26" t="s">
        <v>1543</v>
      </c>
      <c r="F435" s="26" t="s">
        <v>39</v>
      </c>
      <c r="G435" s="27">
        <v>501.0</v>
      </c>
      <c r="H435" s="26"/>
      <c r="I435" s="26" t="s">
        <v>1544</v>
      </c>
      <c r="J435" s="26"/>
      <c r="K435" s="26" t="s">
        <v>45</v>
      </c>
      <c r="L435" s="26" t="s">
        <v>47</v>
      </c>
      <c r="M435" s="26" t="s">
        <v>121</v>
      </c>
      <c r="N435" s="26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</row>
    <row r="436" ht="15.75" customHeight="1">
      <c r="A436" s="26">
        <v>435.0</v>
      </c>
      <c r="B436" s="17">
        <v>45962.0</v>
      </c>
      <c r="C436" s="26" t="s">
        <v>1545</v>
      </c>
      <c r="D436" s="26"/>
      <c r="E436" s="26"/>
      <c r="F436" s="26" t="s">
        <v>39</v>
      </c>
      <c r="G436" s="27">
        <v>5100.0</v>
      </c>
      <c r="H436" s="26"/>
      <c r="I436" s="26" t="s">
        <v>1546</v>
      </c>
      <c r="J436" s="26"/>
      <c r="K436" s="26" t="s">
        <v>73</v>
      </c>
      <c r="L436" s="26" t="s">
        <v>1547</v>
      </c>
      <c r="M436" s="26" t="s">
        <v>121</v>
      </c>
      <c r="N436" s="26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</row>
    <row r="437" ht="15.75" customHeight="1">
      <c r="A437" s="26">
        <v>436.0</v>
      </c>
      <c r="B437" s="17">
        <v>45968.0</v>
      </c>
      <c r="C437" s="26" t="s">
        <v>1548</v>
      </c>
      <c r="D437" s="26"/>
      <c r="E437" s="26" t="s">
        <v>1549</v>
      </c>
      <c r="F437" s="26" t="s">
        <v>39</v>
      </c>
      <c r="G437" s="27">
        <v>21000.0</v>
      </c>
      <c r="H437" s="26"/>
      <c r="I437" s="26" t="s">
        <v>1550</v>
      </c>
      <c r="J437" s="26"/>
      <c r="K437" s="26" t="s">
        <v>129</v>
      </c>
      <c r="L437" s="26" t="s">
        <v>47</v>
      </c>
      <c r="M437" s="26" t="s">
        <v>131</v>
      </c>
      <c r="N437" s="26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</row>
    <row r="438" ht="15.75" customHeight="1">
      <c r="A438" s="26">
        <v>437.0</v>
      </c>
      <c r="B438" s="17">
        <v>45970.0</v>
      </c>
      <c r="C438" s="26" t="s">
        <v>1351</v>
      </c>
      <c r="D438" s="26"/>
      <c r="E438" s="26"/>
      <c r="F438" s="26" t="s">
        <v>39</v>
      </c>
      <c r="G438" s="27">
        <v>1100.0</v>
      </c>
      <c r="H438" s="26"/>
      <c r="I438" s="26" t="s">
        <v>1551</v>
      </c>
      <c r="J438" s="26"/>
      <c r="K438" s="26" t="s">
        <v>45</v>
      </c>
      <c r="L438" s="26" t="s">
        <v>47</v>
      </c>
      <c r="M438" s="26" t="s">
        <v>121</v>
      </c>
      <c r="N438" s="26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</row>
    <row r="439" ht="15.75" customHeight="1">
      <c r="A439" s="26">
        <v>438.0</v>
      </c>
      <c r="B439" s="17">
        <v>45970.0</v>
      </c>
      <c r="C439" s="26" t="s">
        <v>1552</v>
      </c>
      <c r="D439" s="26"/>
      <c r="E439" s="26" t="s">
        <v>1553</v>
      </c>
      <c r="F439" s="26" t="s">
        <v>39</v>
      </c>
      <c r="G439" s="27">
        <v>11000.0</v>
      </c>
      <c r="H439" s="26"/>
      <c r="I439" s="26" t="s">
        <v>1554</v>
      </c>
      <c r="J439" s="26"/>
      <c r="K439" s="26" t="s">
        <v>45</v>
      </c>
      <c r="L439" s="26" t="s">
        <v>47</v>
      </c>
      <c r="M439" s="26" t="s">
        <v>61</v>
      </c>
      <c r="N439" s="26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</row>
    <row r="440" ht="15.75" customHeight="1">
      <c r="A440" s="26">
        <v>439.0</v>
      </c>
      <c r="B440" s="17">
        <v>45958.0</v>
      </c>
      <c r="C440" s="26" t="s">
        <v>1555</v>
      </c>
      <c r="D440" s="26"/>
      <c r="E440" s="26"/>
      <c r="F440" s="26" t="s">
        <v>39</v>
      </c>
      <c r="G440" s="27">
        <v>500.0</v>
      </c>
      <c r="H440" s="26"/>
      <c r="I440" s="26" t="s">
        <v>1556</v>
      </c>
      <c r="J440" s="26"/>
      <c r="K440" s="26" t="s">
        <v>45</v>
      </c>
      <c r="L440" s="26" t="s">
        <v>47</v>
      </c>
      <c r="M440" s="26" t="s">
        <v>121</v>
      </c>
      <c r="N440" s="26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</row>
    <row r="441" ht="15.75" customHeight="1">
      <c r="A441" s="26">
        <v>440.0</v>
      </c>
      <c r="B441" s="17">
        <v>45957.0</v>
      </c>
      <c r="C441" s="26" t="s">
        <v>1557</v>
      </c>
      <c r="D441" s="26"/>
      <c r="E441" s="26" t="s">
        <v>200</v>
      </c>
      <c r="F441" s="26" t="s">
        <v>39</v>
      </c>
      <c r="G441" s="27">
        <v>1100.0</v>
      </c>
      <c r="H441" s="26"/>
      <c r="I441" s="26" t="s">
        <v>1558</v>
      </c>
      <c r="J441" s="26"/>
      <c r="K441" s="26" t="s">
        <v>45</v>
      </c>
      <c r="L441" s="26" t="s">
        <v>47</v>
      </c>
      <c r="M441" s="26" t="s">
        <v>121</v>
      </c>
      <c r="N441" s="26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</row>
    <row r="442" ht="15.75" customHeight="1">
      <c r="A442" s="26">
        <v>441.0</v>
      </c>
      <c r="B442" s="17">
        <v>45977.0</v>
      </c>
      <c r="C442" s="26" t="s">
        <v>748</v>
      </c>
      <c r="D442" s="26"/>
      <c r="E442" s="26" t="s">
        <v>844</v>
      </c>
      <c r="F442" s="26" t="s">
        <v>39</v>
      </c>
      <c r="G442" s="27">
        <v>1100.0</v>
      </c>
      <c r="H442" s="26"/>
      <c r="I442" s="26" t="s">
        <v>1559</v>
      </c>
      <c r="J442" s="26"/>
      <c r="K442" s="26" t="s">
        <v>45</v>
      </c>
      <c r="L442" s="26" t="s">
        <v>47</v>
      </c>
      <c r="M442" s="26" t="s">
        <v>121</v>
      </c>
      <c r="N442" s="26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</row>
    <row r="443" ht="15.75" customHeight="1">
      <c r="A443" s="26">
        <v>442.0</v>
      </c>
      <c r="B443" s="17">
        <v>45982.0</v>
      </c>
      <c r="C443" s="26" t="s">
        <v>1560</v>
      </c>
      <c r="D443" s="26"/>
      <c r="E443" s="26" t="s">
        <v>200</v>
      </c>
      <c r="F443" s="26" t="s">
        <v>39</v>
      </c>
      <c r="G443" s="27">
        <v>500.0</v>
      </c>
      <c r="H443" s="26"/>
      <c r="I443" s="26" t="s">
        <v>1561</v>
      </c>
      <c r="J443" s="26"/>
      <c r="K443" s="26" t="s">
        <v>45</v>
      </c>
      <c r="L443" s="26" t="s">
        <v>47</v>
      </c>
      <c r="M443" s="26" t="s">
        <v>121</v>
      </c>
      <c r="N443" s="26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</row>
    <row r="444" ht="15.75" customHeight="1">
      <c r="A444" s="26">
        <v>443.0</v>
      </c>
      <c r="B444" s="17">
        <v>45982.0</v>
      </c>
      <c r="C444" s="26" t="s">
        <v>1562</v>
      </c>
      <c r="D444" s="26"/>
      <c r="E444" s="26" t="s">
        <v>1563</v>
      </c>
      <c r="F444" s="26" t="s">
        <v>39</v>
      </c>
      <c r="G444" s="27">
        <v>5100.0</v>
      </c>
      <c r="H444" s="26"/>
      <c r="I444" s="26" t="s">
        <v>1564</v>
      </c>
      <c r="J444" s="26"/>
      <c r="K444" s="26" t="s">
        <v>45</v>
      </c>
      <c r="L444" s="26" t="s">
        <v>47</v>
      </c>
      <c r="M444" s="26" t="s">
        <v>121</v>
      </c>
      <c r="N444" s="26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</row>
    <row r="445" ht="15.75" customHeight="1">
      <c r="A445" s="26">
        <v>444.0</v>
      </c>
      <c r="B445" s="17">
        <v>45982.0</v>
      </c>
      <c r="C445" s="26" t="s">
        <v>1565</v>
      </c>
      <c r="D445" s="26"/>
      <c r="E445" s="26" t="s">
        <v>1566</v>
      </c>
      <c r="F445" s="26" t="s">
        <v>39</v>
      </c>
      <c r="G445" s="27">
        <v>501.0</v>
      </c>
      <c r="H445" s="26"/>
      <c r="I445" s="26" t="s">
        <v>1567</v>
      </c>
      <c r="J445" s="26"/>
      <c r="K445" s="26" t="s">
        <v>45</v>
      </c>
      <c r="L445" s="26" t="s">
        <v>47</v>
      </c>
      <c r="M445" s="26" t="s">
        <v>121</v>
      </c>
      <c r="N445" s="26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</row>
    <row r="446" ht="15.75" customHeight="1">
      <c r="A446" s="26">
        <v>445.0</v>
      </c>
      <c r="B446" s="17">
        <v>45982.0</v>
      </c>
      <c r="C446" s="26" t="s">
        <v>1568</v>
      </c>
      <c r="D446" s="26"/>
      <c r="E446" s="26" t="s">
        <v>1569</v>
      </c>
      <c r="F446" s="26" t="s">
        <v>39</v>
      </c>
      <c r="G446" s="27">
        <v>1100.0</v>
      </c>
      <c r="H446" s="26"/>
      <c r="I446" s="26" t="s">
        <v>1570</v>
      </c>
      <c r="J446" s="26"/>
      <c r="K446" s="26" t="s">
        <v>45</v>
      </c>
      <c r="L446" s="26" t="s">
        <v>47</v>
      </c>
      <c r="M446" s="26" t="s">
        <v>121</v>
      </c>
      <c r="N446" s="26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</row>
    <row r="447" ht="15.75" customHeight="1">
      <c r="A447" s="26">
        <v>446.0</v>
      </c>
      <c r="B447" s="17">
        <v>45982.0</v>
      </c>
      <c r="C447" s="26" t="s">
        <v>1571</v>
      </c>
      <c r="D447" s="26"/>
      <c r="E447" s="26" t="s">
        <v>1572</v>
      </c>
      <c r="F447" s="26" t="s">
        <v>39</v>
      </c>
      <c r="G447" s="27">
        <v>1101.0</v>
      </c>
      <c r="H447" s="26"/>
      <c r="I447" s="26" t="s">
        <v>1573</v>
      </c>
      <c r="J447" s="26"/>
      <c r="K447" s="26" t="s">
        <v>45</v>
      </c>
      <c r="L447" s="26" t="s">
        <v>47</v>
      </c>
      <c r="M447" s="26" t="s">
        <v>121</v>
      </c>
      <c r="N447" s="26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</row>
    <row r="448" ht="15.75" customHeight="1">
      <c r="A448" s="26">
        <v>447.0</v>
      </c>
      <c r="B448" s="17">
        <v>45982.0</v>
      </c>
      <c r="C448" s="26" t="s">
        <v>1574</v>
      </c>
      <c r="D448" s="26">
        <v>9.8963629E9</v>
      </c>
      <c r="E448" s="26" t="s">
        <v>1575</v>
      </c>
      <c r="F448" s="26" t="s">
        <v>39</v>
      </c>
      <c r="G448" s="94">
        <v>2100.0</v>
      </c>
      <c r="H448" s="26"/>
      <c r="I448" s="26" t="s">
        <v>1576</v>
      </c>
      <c r="J448" s="26"/>
      <c r="K448" s="26" t="s">
        <v>45</v>
      </c>
      <c r="L448" s="26" t="s">
        <v>47</v>
      </c>
      <c r="M448" s="26" t="s">
        <v>121</v>
      </c>
      <c r="N448" s="26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</row>
    <row r="449" ht="15.75" customHeight="1">
      <c r="A449" s="26">
        <v>448.0</v>
      </c>
      <c r="B449" s="17">
        <v>45982.0</v>
      </c>
      <c r="C449" s="26" t="s">
        <v>1577</v>
      </c>
      <c r="D449" s="26">
        <v>9.81421919E9</v>
      </c>
      <c r="E449" s="26" t="s">
        <v>1578</v>
      </c>
      <c r="F449" s="26" t="s">
        <v>39</v>
      </c>
      <c r="G449" s="27">
        <v>2100.0</v>
      </c>
      <c r="H449" s="26"/>
      <c r="I449" s="26" t="s">
        <v>1579</v>
      </c>
      <c r="J449" s="26"/>
      <c r="K449" s="26" t="s">
        <v>45</v>
      </c>
      <c r="L449" s="26" t="s">
        <v>47</v>
      </c>
      <c r="M449" s="26" t="s">
        <v>121</v>
      </c>
      <c r="N449" s="26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</row>
    <row r="450" ht="15.75" customHeight="1">
      <c r="A450" s="26">
        <v>449.0</v>
      </c>
      <c r="B450" s="17">
        <v>45982.0</v>
      </c>
      <c r="C450" s="26" t="s">
        <v>1580</v>
      </c>
      <c r="D450" s="26"/>
      <c r="E450" s="26" t="s">
        <v>1581</v>
      </c>
      <c r="F450" s="26" t="s">
        <v>39</v>
      </c>
      <c r="G450" s="27">
        <v>11000.0</v>
      </c>
      <c r="H450" s="26"/>
      <c r="I450" s="26" t="s">
        <v>1582</v>
      </c>
      <c r="J450" s="26"/>
      <c r="K450" s="26" t="s">
        <v>45</v>
      </c>
      <c r="L450" s="26" t="s">
        <v>47</v>
      </c>
      <c r="M450" s="26" t="s">
        <v>121</v>
      </c>
      <c r="N450" s="26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</row>
    <row r="451" ht="15.75" customHeight="1">
      <c r="A451" s="26">
        <v>450.0</v>
      </c>
      <c r="B451" s="17">
        <v>45982.0</v>
      </c>
      <c r="C451" s="26" t="s">
        <v>145</v>
      </c>
      <c r="D451" s="26"/>
      <c r="E451" s="26" t="s">
        <v>1583</v>
      </c>
      <c r="F451" s="26" t="s">
        <v>39</v>
      </c>
      <c r="G451" s="27">
        <v>1000.0</v>
      </c>
      <c r="H451" s="26"/>
      <c r="I451" s="26" t="s">
        <v>1584</v>
      </c>
      <c r="J451" s="26"/>
      <c r="K451" s="26" t="s">
        <v>45</v>
      </c>
      <c r="L451" s="26" t="s">
        <v>47</v>
      </c>
      <c r="M451" s="26" t="s">
        <v>121</v>
      </c>
      <c r="N451" s="26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</row>
    <row r="452" ht="15.75" customHeight="1">
      <c r="A452" s="26">
        <v>451.0</v>
      </c>
      <c r="B452" s="17">
        <v>45982.0</v>
      </c>
      <c r="C452" s="26" t="s">
        <v>1585</v>
      </c>
      <c r="D452" s="26"/>
      <c r="E452" s="26"/>
      <c r="F452" s="26" t="s">
        <v>39</v>
      </c>
      <c r="G452" s="27">
        <v>500.0</v>
      </c>
      <c r="H452" s="26"/>
      <c r="I452" s="26" t="s">
        <v>1586</v>
      </c>
      <c r="J452" s="26"/>
      <c r="K452" s="26" t="s">
        <v>45</v>
      </c>
      <c r="L452" s="26" t="s">
        <v>47</v>
      </c>
      <c r="M452" s="26" t="s">
        <v>121</v>
      </c>
      <c r="N452" s="26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</row>
    <row r="453" ht="15.75" customHeight="1">
      <c r="A453" s="26">
        <v>452.0</v>
      </c>
      <c r="B453" s="17">
        <v>45982.0</v>
      </c>
      <c r="C453" s="26" t="s">
        <v>714</v>
      </c>
      <c r="D453" s="26">
        <v>7.888587588E9</v>
      </c>
      <c r="E453" s="26" t="s">
        <v>1034</v>
      </c>
      <c r="F453" s="26" t="s">
        <v>39</v>
      </c>
      <c r="G453" s="27">
        <v>2100.0</v>
      </c>
      <c r="H453" s="26"/>
      <c r="I453" s="26" t="s">
        <v>1587</v>
      </c>
      <c r="J453" s="26"/>
      <c r="K453" s="26" t="s">
        <v>45</v>
      </c>
      <c r="L453" s="26" t="s">
        <v>47</v>
      </c>
      <c r="M453" s="26" t="s">
        <v>121</v>
      </c>
      <c r="N453" s="26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</row>
    <row r="454" ht="15.75" customHeight="1">
      <c r="A454" s="26">
        <v>453.0</v>
      </c>
      <c r="B454" s="17">
        <v>45982.0</v>
      </c>
      <c r="C454" s="26" t="s">
        <v>1588</v>
      </c>
      <c r="D454" s="26"/>
      <c r="E454" s="26" t="s">
        <v>1589</v>
      </c>
      <c r="F454" s="26" t="s">
        <v>39</v>
      </c>
      <c r="G454" s="27">
        <v>1200.0</v>
      </c>
      <c r="H454" s="26"/>
      <c r="I454" s="26" t="s">
        <v>1590</v>
      </c>
      <c r="J454" s="26"/>
      <c r="K454" s="26" t="s">
        <v>45</v>
      </c>
      <c r="L454" s="26" t="s">
        <v>47</v>
      </c>
      <c r="M454" s="26" t="s">
        <v>121</v>
      </c>
      <c r="N454" s="26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</row>
    <row r="455" ht="15.75" customHeight="1">
      <c r="A455" s="26">
        <v>454.0</v>
      </c>
      <c r="B455" s="17">
        <v>45982.0</v>
      </c>
      <c r="C455" s="26" t="s">
        <v>1591</v>
      </c>
      <c r="D455" s="26"/>
      <c r="E455" s="26" t="s">
        <v>1592</v>
      </c>
      <c r="F455" s="26" t="s">
        <v>39</v>
      </c>
      <c r="G455" s="27">
        <v>1100.0</v>
      </c>
      <c r="H455" s="26"/>
      <c r="I455" s="26" t="s">
        <v>1593</v>
      </c>
      <c r="J455" s="26"/>
      <c r="K455" s="26" t="s">
        <v>45</v>
      </c>
      <c r="L455" s="26" t="s">
        <v>47</v>
      </c>
      <c r="M455" s="26" t="s">
        <v>121</v>
      </c>
      <c r="N455" s="26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</row>
    <row r="456" ht="15.75" customHeight="1">
      <c r="A456" s="26">
        <v>455.0</v>
      </c>
      <c r="B456" s="17">
        <v>45983.0</v>
      </c>
      <c r="C456" s="26" t="s">
        <v>145</v>
      </c>
      <c r="D456" s="26"/>
      <c r="E456" s="26"/>
      <c r="F456" s="26" t="s">
        <v>39</v>
      </c>
      <c r="G456" s="27">
        <v>750.0</v>
      </c>
      <c r="H456" s="26"/>
      <c r="I456" s="26" t="s">
        <v>1594</v>
      </c>
      <c r="J456" s="26"/>
      <c r="K456" s="26" t="s">
        <v>45</v>
      </c>
      <c r="L456" s="26" t="s">
        <v>47</v>
      </c>
      <c r="M456" s="26" t="s">
        <v>121</v>
      </c>
      <c r="N456" s="26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</row>
    <row r="457" ht="15.75" customHeight="1">
      <c r="A457" s="26">
        <v>456.0</v>
      </c>
      <c r="B457" s="17">
        <v>45983.0</v>
      </c>
      <c r="C457" s="26" t="s">
        <v>1595</v>
      </c>
      <c r="D457" s="26"/>
      <c r="E457" s="26" t="s">
        <v>919</v>
      </c>
      <c r="F457" s="26" t="s">
        <v>39</v>
      </c>
      <c r="G457" s="27">
        <v>51000.0</v>
      </c>
      <c r="H457" s="26"/>
      <c r="I457" s="26" t="s">
        <v>1596</v>
      </c>
      <c r="J457" s="26"/>
      <c r="K457" s="26" t="s">
        <v>45</v>
      </c>
      <c r="L457" s="26" t="s">
        <v>47</v>
      </c>
      <c r="M457" s="26" t="s">
        <v>121</v>
      </c>
      <c r="N457" s="26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</row>
    <row r="458" ht="15.75" customHeight="1">
      <c r="A458" s="26">
        <v>457.0</v>
      </c>
      <c r="B458" s="17">
        <v>45983.0</v>
      </c>
      <c r="C458" s="26" t="s">
        <v>1597</v>
      </c>
      <c r="D458" s="26"/>
      <c r="E458" s="26"/>
      <c r="F458" s="26" t="s">
        <v>39</v>
      </c>
      <c r="G458" s="27">
        <v>5100.0</v>
      </c>
      <c r="H458" s="26"/>
      <c r="I458" s="26" t="s">
        <v>1598</v>
      </c>
      <c r="J458" s="26"/>
      <c r="K458" s="26" t="s">
        <v>129</v>
      </c>
      <c r="L458" s="26" t="s">
        <v>1547</v>
      </c>
      <c r="M458" s="26" t="s">
        <v>121</v>
      </c>
      <c r="N458" s="26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</row>
    <row r="459" ht="15.75" customHeight="1">
      <c r="A459" s="26">
        <v>458.0</v>
      </c>
      <c r="B459" s="17">
        <v>45983.0</v>
      </c>
      <c r="C459" s="26" t="s">
        <v>100</v>
      </c>
      <c r="D459" s="26"/>
      <c r="E459" s="26"/>
      <c r="F459" s="26" t="s">
        <v>39</v>
      </c>
      <c r="G459" s="27">
        <v>11000.0</v>
      </c>
      <c r="H459" s="26"/>
      <c r="I459" s="26" t="s">
        <v>1599</v>
      </c>
      <c r="J459" s="26"/>
      <c r="K459" s="26" t="s">
        <v>45</v>
      </c>
      <c r="L459" s="26" t="s">
        <v>47</v>
      </c>
      <c r="M459" s="26" t="s">
        <v>121</v>
      </c>
      <c r="N459" s="26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</row>
    <row r="460" ht="15.75" customHeight="1">
      <c r="A460" s="26">
        <v>459.0</v>
      </c>
      <c r="B460" s="17">
        <v>45983.0</v>
      </c>
      <c r="C460" s="26" t="s">
        <v>866</v>
      </c>
      <c r="D460" s="26"/>
      <c r="E460" s="26"/>
      <c r="F460" s="26" t="s">
        <v>39</v>
      </c>
      <c r="G460" s="27">
        <v>13523.0</v>
      </c>
      <c r="H460" s="26"/>
      <c r="I460" s="26" t="s">
        <v>1600</v>
      </c>
      <c r="J460" s="26"/>
      <c r="K460" s="26" t="s">
        <v>45</v>
      </c>
      <c r="L460" s="26" t="s">
        <v>47</v>
      </c>
      <c r="M460" s="26" t="s">
        <v>121</v>
      </c>
      <c r="N460" s="26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</row>
    <row r="461" ht="15.75" customHeight="1">
      <c r="A461" s="26">
        <v>460.0</v>
      </c>
      <c r="B461" s="17">
        <v>45983.0</v>
      </c>
      <c r="C461" s="26" t="s">
        <v>1601</v>
      </c>
      <c r="D461" s="26"/>
      <c r="E461" s="26" t="s">
        <v>1602</v>
      </c>
      <c r="F461" s="26" t="s">
        <v>39</v>
      </c>
      <c r="G461" s="27">
        <v>1100.0</v>
      </c>
      <c r="H461" s="26"/>
      <c r="I461" s="26" t="s">
        <v>1603</v>
      </c>
      <c r="J461" s="26"/>
      <c r="K461" s="26" t="s">
        <v>45</v>
      </c>
      <c r="L461" s="26" t="s">
        <v>47</v>
      </c>
      <c r="M461" s="26" t="s">
        <v>121</v>
      </c>
      <c r="N461" s="26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</row>
    <row r="462" ht="15.75" customHeight="1">
      <c r="A462" s="26">
        <v>461.0</v>
      </c>
      <c r="B462" s="17">
        <v>45983.0</v>
      </c>
      <c r="C462" s="26" t="s">
        <v>1604</v>
      </c>
      <c r="D462" s="26"/>
      <c r="E462" s="26"/>
      <c r="F462" s="26" t="s">
        <v>39</v>
      </c>
      <c r="G462" s="27">
        <v>500.0</v>
      </c>
      <c r="H462" s="26"/>
      <c r="I462" s="26" t="s">
        <v>1605</v>
      </c>
      <c r="J462" s="26"/>
      <c r="K462" s="26" t="s">
        <v>45</v>
      </c>
      <c r="L462" s="26" t="s">
        <v>47</v>
      </c>
      <c r="M462" s="26" t="s">
        <v>121</v>
      </c>
      <c r="N462" s="26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</row>
    <row r="463" ht="15.75" customHeight="1">
      <c r="A463" s="26">
        <v>462.0</v>
      </c>
      <c r="B463" s="17">
        <v>45984.0</v>
      </c>
      <c r="C463" s="26" t="s">
        <v>1606</v>
      </c>
      <c r="D463" s="26"/>
      <c r="E463" s="26" t="s">
        <v>200</v>
      </c>
      <c r="F463" s="26" t="s">
        <v>39</v>
      </c>
      <c r="G463" s="27">
        <v>1100.0</v>
      </c>
      <c r="H463" s="26"/>
      <c r="I463" s="26" t="s">
        <v>1607</v>
      </c>
      <c r="J463" s="26"/>
      <c r="K463" s="26" t="s">
        <v>45</v>
      </c>
      <c r="L463" s="26" t="s">
        <v>47</v>
      </c>
      <c r="M463" s="26" t="s">
        <v>121</v>
      </c>
      <c r="N463" s="26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</row>
    <row r="464" ht="15.75" customHeight="1">
      <c r="A464" s="26">
        <v>463.0</v>
      </c>
      <c r="B464" s="17">
        <v>45984.0</v>
      </c>
      <c r="C464" s="26" t="s">
        <v>1608</v>
      </c>
      <c r="D464" s="26"/>
      <c r="E464" s="26"/>
      <c r="F464" s="26" t="s">
        <v>39</v>
      </c>
      <c r="G464" s="27">
        <v>11000.0</v>
      </c>
      <c r="H464" s="26"/>
      <c r="I464" s="26" t="s">
        <v>1609</v>
      </c>
      <c r="J464" s="26"/>
      <c r="K464" s="26" t="s">
        <v>45</v>
      </c>
      <c r="L464" s="26" t="s">
        <v>47</v>
      </c>
      <c r="M464" s="26" t="s">
        <v>121</v>
      </c>
      <c r="N464" s="26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</row>
    <row r="465" ht="15.75" customHeight="1">
      <c r="A465" s="26">
        <v>464.0</v>
      </c>
      <c r="B465" s="17">
        <v>45984.0</v>
      </c>
      <c r="C465" s="26" t="s">
        <v>1610</v>
      </c>
      <c r="D465" s="26"/>
      <c r="E465" s="26" t="s">
        <v>1611</v>
      </c>
      <c r="F465" s="26" t="s">
        <v>39</v>
      </c>
      <c r="G465" s="27">
        <v>2100.0</v>
      </c>
      <c r="H465" s="26"/>
      <c r="I465" s="26" t="s">
        <v>1612</v>
      </c>
      <c r="J465" s="26"/>
      <c r="K465" s="26" t="s">
        <v>45</v>
      </c>
      <c r="L465" s="26" t="s">
        <v>47</v>
      </c>
      <c r="M465" s="26" t="s">
        <v>121</v>
      </c>
      <c r="N465" s="26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</row>
    <row r="466" ht="15.75" customHeight="1">
      <c r="A466" s="26">
        <v>465.0</v>
      </c>
      <c r="B466" s="17">
        <v>45984.0</v>
      </c>
      <c r="C466" s="26" t="s">
        <v>1613</v>
      </c>
      <c r="D466" s="26"/>
      <c r="E466" s="26"/>
      <c r="F466" s="26" t="s">
        <v>39</v>
      </c>
      <c r="G466" s="27">
        <v>200.0</v>
      </c>
      <c r="H466" s="26"/>
      <c r="I466" s="26" t="s">
        <v>1614</v>
      </c>
      <c r="J466" s="26"/>
      <c r="K466" s="26" t="s">
        <v>45</v>
      </c>
      <c r="L466" s="26" t="s">
        <v>47</v>
      </c>
      <c r="M466" s="26" t="s">
        <v>121</v>
      </c>
      <c r="N466" s="26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</row>
    <row r="467" ht="15.75" customHeight="1">
      <c r="A467" s="26">
        <v>466.0</v>
      </c>
      <c r="B467" s="17">
        <v>45984.0</v>
      </c>
      <c r="C467" s="26" t="s">
        <v>1615</v>
      </c>
      <c r="D467" s="26"/>
      <c r="E467" s="26"/>
      <c r="F467" s="26" t="s">
        <v>39</v>
      </c>
      <c r="G467" s="27">
        <v>1100.0</v>
      </c>
      <c r="H467" s="26"/>
      <c r="I467" s="26" t="s">
        <v>1616</v>
      </c>
      <c r="J467" s="26"/>
      <c r="K467" s="26" t="s">
        <v>45</v>
      </c>
      <c r="L467" s="26" t="s">
        <v>47</v>
      </c>
      <c r="M467" s="26" t="s">
        <v>121</v>
      </c>
      <c r="N467" s="26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</row>
    <row r="468" ht="15.75" customHeight="1">
      <c r="A468" s="26">
        <v>467.0</v>
      </c>
      <c r="B468" s="17">
        <v>45984.0</v>
      </c>
      <c r="C468" s="26" t="s">
        <v>1617</v>
      </c>
      <c r="D468" s="26"/>
      <c r="E468" s="26"/>
      <c r="F468" s="26" t="s">
        <v>39</v>
      </c>
      <c r="G468" s="27">
        <v>2100.0</v>
      </c>
      <c r="H468" s="26"/>
      <c r="I468" s="26" t="s">
        <v>1618</v>
      </c>
      <c r="J468" s="26"/>
      <c r="K468" s="26" t="s">
        <v>45</v>
      </c>
      <c r="L468" s="26" t="s">
        <v>47</v>
      </c>
      <c r="M468" s="26" t="s">
        <v>121</v>
      </c>
      <c r="N468" s="26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</row>
    <row r="469" ht="15.75" customHeight="1">
      <c r="A469" s="26">
        <v>468.0</v>
      </c>
      <c r="B469" s="17">
        <v>45984.0</v>
      </c>
      <c r="C469" s="26" t="s">
        <v>1619</v>
      </c>
      <c r="D469" s="26"/>
      <c r="E469" s="26" t="s">
        <v>1620</v>
      </c>
      <c r="F469" s="26" t="s">
        <v>39</v>
      </c>
      <c r="G469" s="27">
        <v>1100.0</v>
      </c>
      <c r="H469" s="26"/>
      <c r="I469" s="26" t="s">
        <v>1621</v>
      </c>
      <c r="J469" s="26"/>
      <c r="K469" s="26" t="s">
        <v>45</v>
      </c>
      <c r="L469" s="26" t="s">
        <v>47</v>
      </c>
      <c r="M469" s="26" t="s">
        <v>121</v>
      </c>
      <c r="N469" s="26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</row>
    <row r="470" ht="15.75" customHeight="1">
      <c r="A470" s="26">
        <v>469.0</v>
      </c>
      <c r="B470" s="17">
        <v>45984.0</v>
      </c>
      <c r="C470" s="26" t="s">
        <v>1622</v>
      </c>
      <c r="D470" s="26"/>
      <c r="E470" s="26" t="s">
        <v>1179</v>
      </c>
      <c r="F470" s="26" t="s">
        <v>39</v>
      </c>
      <c r="G470" s="27">
        <v>1100.0</v>
      </c>
      <c r="H470" s="26"/>
      <c r="I470" s="26" t="s">
        <v>1623</v>
      </c>
      <c r="J470" s="26"/>
      <c r="K470" s="26" t="s">
        <v>45</v>
      </c>
      <c r="L470" s="26" t="s">
        <v>47</v>
      </c>
      <c r="M470" s="26" t="s">
        <v>121</v>
      </c>
      <c r="N470" s="26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</row>
    <row r="471" ht="15.75" customHeight="1">
      <c r="A471" s="26">
        <v>470.0</v>
      </c>
      <c r="B471" s="17">
        <v>45984.0</v>
      </c>
      <c r="C471" s="26" t="s">
        <v>1624</v>
      </c>
      <c r="D471" s="26"/>
      <c r="E471" s="26" t="s">
        <v>1625</v>
      </c>
      <c r="F471" s="26" t="s">
        <v>39</v>
      </c>
      <c r="G471" s="27">
        <v>1100.0</v>
      </c>
      <c r="H471" s="26"/>
      <c r="I471" s="26" t="s">
        <v>1626</v>
      </c>
      <c r="J471" s="26"/>
      <c r="K471" s="26" t="s">
        <v>45</v>
      </c>
      <c r="L471" s="26" t="s">
        <v>47</v>
      </c>
      <c r="M471" s="26" t="s">
        <v>121</v>
      </c>
      <c r="N471" s="26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</row>
    <row r="472" ht="15.75" customHeight="1">
      <c r="A472" s="26">
        <v>471.0</v>
      </c>
      <c r="B472" s="17">
        <v>45984.0</v>
      </c>
      <c r="C472" s="26" t="s">
        <v>1627</v>
      </c>
      <c r="D472" s="26"/>
      <c r="E472" s="26" t="s">
        <v>1348</v>
      </c>
      <c r="F472" s="26" t="s">
        <v>39</v>
      </c>
      <c r="G472" s="27">
        <v>500.0</v>
      </c>
      <c r="H472" s="26"/>
      <c r="I472" s="26" t="s">
        <v>1628</v>
      </c>
      <c r="J472" s="26"/>
      <c r="K472" s="26" t="s">
        <v>45</v>
      </c>
      <c r="L472" s="26" t="s">
        <v>47</v>
      </c>
      <c r="M472" s="26" t="s">
        <v>121</v>
      </c>
      <c r="N472" s="26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</row>
    <row r="473" ht="15.75" customHeight="1">
      <c r="A473" s="26">
        <v>472.0</v>
      </c>
      <c r="B473" s="17">
        <v>45984.0</v>
      </c>
      <c r="C473" s="26" t="s">
        <v>1629</v>
      </c>
      <c r="D473" s="26"/>
      <c r="E473" s="26" t="s">
        <v>1230</v>
      </c>
      <c r="F473" s="26" t="s">
        <v>39</v>
      </c>
      <c r="G473" s="27">
        <v>1100.0</v>
      </c>
      <c r="H473" s="26"/>
      <c r="I473" s="26" t="s">
        <v>1630</v>
      </c>
      <c r="J473" s="26"/>
      <c r="K473" s="26" t="s">
        <v>45</v>
      </c>
      <c r="L473" s="26" t="s">
        <v>47</v>
      </c>
      <c r="M473" s="26" t="s">
        <v>121</v>
      </c>
      <c r="N473" s="26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</row>
    <row r="474" ht="15.75" customHeight="1">
      <c r="A474" s="26">
        <v>473.0</v>
      </c>
      <c r="B474" s="17">
        <v>45984.0</v>
      </c>
      <c r="C474" s="26" t="s">
        <v>1631</v>
      </c>
      <c r="D474" s="26"/>
      <c r="E474" s="26" t="s">
        <v>970</v>
      </c>
      <c r="F474" s="26" t="s">
        <v>39</v>
      </c>
      <c r="G474" s="27">
        <v>300.0</v>
      </c>
      <c r="H474" s="26"/>
      <c r="I474" s="26" t="s">
        <v>1632</v>
      </c>
      <c r="J474" s="26"/>
      <c r="K474" s="26" t="s">
        <v>45</v>
      </c>
      <c r="L474" s="26" t="s">
        <v>47</v>
      </c>
      <c r="M474" s="26" t="s">
        <v>121</v>
      </c>
      <c r="N474" s="26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</row>
    <row r="475" ht="15.75" customHeight="1">
      <c r="A475" s="26">
        <v>474.0</v>
      </c>
      <c r="B475" s="17">
        <v>45984.0</v>
      </c>
      <c r="C475" s="26" t="s">
        <v>1633</v>
      </c>
      <c r="D475" s="26"/>
      <c r="E475" s="26" t="s">
        <v>1121</v>
      </c>
      <c r="F475" s="26" t="s">
        <v>39</v>
      </c>
      <c r="G475" s="27">
        <v>500.0</v>
      </c>
      <c r="H475" s="26"/>
      <c r="I475" s="26" t="s">
        <v>1634</v>
      </c>
      <c r="J475" s="26"/>
      <c r="K475" s="26" t="s">
        <v>45</v>
      </c>
      <c r="L475" s="26" t="s">
        <v>47</v>
      </c>
      <c r="M475" s="26" t="s">
        <v>121</v>
      </c>
      <c r="N475" s="26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</row>
    <row r="476" ht="15.75" customHeight="1">
      <c r="A476" s="26">
        <v>475.0</v>
      </c>
      <c r="B476" s="17">
        <v>45984.0</v>
      </c>
      <c r="C476" s="26" t="s">
        <v>1635</v>
      </c>
      <c r="D476" s="26"/>
      <c r="E476" s="26"/>
      <c r="F476" s="26" t="s">
        <v>39</v>
      </c>
      <c r="G476" s="27">
        <v>1100.0</v>
      </c>
      <c r="H476" s="26"/>
      <c r="I476" s="26" t="s">
        <v>1636</v>
      </c>
      <c r="J476" s="26"/>
      <c r="K476" s="26" t="s">
        <v>45</v>
      </c>
      <c r="L476" s="26" t="s">
        <v>47</v>
      </c>
      <c r="M476" s="26" t="s">
        <v>121</v>
      </c>
      <c r="N476" s="26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</row>
    <row r="477" ht="15.75" customHeight="1">
      <c r="A477" s="26">
        <v>476.0</v>
      </c>
      <c r="B477" s="17">
        <v>45984.0</v>
      </c>
      <c r="C477" s="26" t="s">
        <v>1637</v>
      </c>
      <c r="D477" s="26"/>
      <c r="E477" s="26"/>
      <c r="F477" s="26" t="s">
        <v>39</v>
      </c>
      <c r="G477" s="27">
        <v>500.0</v>
      </c>
      <c r="H477" s="26"/>
      <c r="I477" s="26" t="s">
        <v>1638</v>
      </c>
      <c r="J477" s="26"/>
      <c r="K477" s="26" t="s">
        <v>45</v>
      </c>
      <c r="L477" s="26" t="s">
        <v>47</v>
      </c>
      <c r="M477" s="26" t="s">
        <v>121</v>
      </c>
      <c r="N477" s="26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</row>
    <row r="478" ht="15.75" customHeight="1">
      <c r="A478" s="26">
        <v>477.0</v>
      </c>
      <c r="B478" s="17">
        <v>45984.0</v>
      </c>
      <c r="C478" s="26" t="s">
        <v>1639</v>
      </c>
      <c r="D478" s="26"/>
      <c r="E478" s="26"/>
      <c r="F478" s="26" t="s">
        <v>39</v>
      </c>
      <c r="G478" s="27">
        <v>500.0</v>
      </c>
      <c r="H478" s="26"/>
      <c r="I478" s="26" t="s">
        <v>1640</v>
      </c>
      <c r="J478" s="26"/>
      <c r="K478" s="26" t="s">
        <v>45</v>
      </c>
      <c r="L478" s="26" t="s">
        <v>47</v>
      </c>
      <c r="M478" s="26" t="s">
        <v>121</v>
      </c>
      <c r="N478" s="26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</row>
    <row r="479" ht="15.75" customHeight="1">
      <c r="A479" s="26">
        <v>478.0</v>
      </c>
      <c r="B479" s="17">
        <v>45984.0</v>
      </c>
      <c r="C479" s="26" t="s">
        <v>1641</v>
      </c>
      <c r="D479" s="26"/>
      <c r="E479" s="26" t="s">
        <v>1642</v>
      </c>
      <c r="F479" s="26" t="s">
        <v>39</v>
      </c>
      <c r="G479" s="27">
        <v>501.0</v>
      </c>
      <c r="H479" s="26"/>
      <c r="I479" s="26" t="s">
        <v>1643</v>
      </c>
      <c r="J479" s="26"/>
      <c r="K479" s="26" t="s">
        <v>45</v>
      </c>
      <c r="L479" s="26" t="s">
        <v>47</v>
      </c>
      <c r="M479" s="26" t="s">
        <v>121</v>
      </c>
      <c r="N479" s="26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</row>
    <row r="480" ht="15.75" customHeight="1">
      <c r="A480" s="26">
        <v>479.0</v>
      </c>
      <c r="B480" s="17">
        <v>45984.0</v>
      </c>
      <c r="C480" s="26" t="s">
        <v>1644</v>
      </c>
      <c r="D480" s="26"/>
      <c r="E480" s="26" t="s">
        <v>1645</v>
      </c>
      <c r="F480" s="26" t="s">
        <v>39</v>
      </c>
      <c r="G480" s="27">
        <v>1000.0</v>
      </c>
      <c r="H480" s="26"/>
      <c r="I480" s="26" t="s">
        <v>1646</v>
      </c>
      <c r="J480" s="26"/>
      <c r="K480" s="26" t="s">
        <v>45</v>
      </c>
      <c r="L480" s="26" t="s">
        <v>47</v>
      </c>
      <c r="M480" s="26" t="s">
        <v>121</v>
      </c>
      <c r="N480" s="26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</row>
    <row r="481" ht="15.75" customHeight="1">
      <c r="A481" s="26">
        <v>480.0</v>
      </c>
      <c r="B481" s="17">
        <v>45984.0</v>
      </c>
      <c r="C481" s="26" t="s">
        <v>1647</v>
      </c>
      <c r="D481" s="26"/>
      <c r="E481" s="26" t="s">
        <v>1648</v>
      </c>
      <c r="F481" s="26" t="s">
        <v>39</v>
      </c>
      <c r="G481" s="27">
        <v>1100.0</v>
      </c>
      <c r="H481" s="26"/>
      <c r="I481" s="26" t="s">
        <v>1649</v>
      </c>
      <c r="J481" s="26"/>
      <c r="K481" s="26" t="s">
        <v>45</v>
      </c>
      <c r="L481" s="26" t="s">
        <v>47</v>
      </c>
      <c r="M481" s="26" t="s">
        <v>121</v>
      </c>
      <c r="N481" s="26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</row>
    <row r="482" ht="15.75" customHeight="1">
      <c r="A482" s="26">
        <v>481.0</v>
      </c>
      <c r="B482" s="17">
        <v>45984.0</v>
      </c>
      <c r="C482" s="26" t="s">
        <v>1650</v>
      </c>
      <c r="D482" s="26"/>
      <c r="E482" s="26" t="s">
        <v>1002</v>
      </c>
      <c r="F482" s="26" t="s">
        <v>39</v>
      </c>
      <c r="G482" s="27">
        <v>500.0</v>
      </c>
      <c r="H482" s="26"/>
      <c r="I482" s="26" t="s">
        <v>1651</v>
      </c>
      <c r="J482" s="26"/>
      <c r="K482" s="26" t="s">
        <v>45</v>
      </c>
      <c r="L482" s="26" t="s">
        <v>47</v>
      </c>
      <c r="M482" s="26" t="s">
        <v>121</v>
      </c>
      <c r="N482" s="26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</row>
    <row r="483" ht="15.75" customHeight="1">
      <c r="A483" s="26">
        <v>482.0</v>
      </c>
      <c r="B483" s="17">
        <v>45984.0</v>
      </c>
      <c r="C483" s="26" t="s">
        <v>1652</v>
      </c>
      <c r="D483" s="26"/>
      <c r="E483" s="26" t="s">
        <v>1653</v>
      </c>
      <c r="F483" s="26" t="s">
        <v>39</v>
      </c>
      <c r="G483" s="27">
        <v>500.0</v>
      </c>
      <c r="H483" s="26"/>
      <c r="I483" s="26" t="s">
        <v>1654</v>
      </c>
      <c r="J483" s="26"/>
      <c r="K483" s="26" t="s">
        <v>45</v>
      </c>
      <c r="L483" s="26" t="s">
        <v>47</v>
      </c>
      <c r="M483" s="26" t="s">
        <v>121</v>
      </c>
      <c r="N483" s="26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</row>
    <row r="484" ht="15.75" customHeight="1">
      <c r="A484" s="26">
        <v>483.0</v>
      </c>
      <c r="B484" s="17">
        <v>45984.0</v>
      </c>
      <c r="C484" s="26" t="s">
        <v>1655</v>
      </c>
      <c r="D484" s="26"/>
      <c r="E484" s="26" t="s">
        <v>1656</v>
      </c>
      <c r="F484" s="26" t="s">
        <v>39</v>
      </c>
      <c r="G484" s="27">
        <v>3100.0</v>
      </c>
      <c r="H484" s="26"/>
      <c r="I484" s="26" t="s">
        <v>1657</v>
      </c>
      <c r="J484" s="26"/>
      <c r="K484" s="26" t="s">
        <v>45</v>
      </c>
      <c r="L484" s="26" t="s">
        <v>47</v>
      </c>
      <c r="M484" s="26" t="s">
        <v>121</v>
      </c>
      <c r="N484" s="26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</row>
    <row r="485" ht="15.75" customHeight="1">
      <c r="A485" s="26">
        <v>484.0</v>
      </c>
      <c r="B485" s="17">
        <v>45984.0</v>
      </c>
      <c r="C485" s="26" t="s">
        <v>1658</v>
      </c>
      <c r="D485" s="26"/>
      <c r="E485" s="26"/>
      <c r="F485" s="26" t="s">
        <v>39</v>
      </c>
      <c r="G485" s="27">
        <v>2100.0</v>
      </c>
      <c r="H485" s="26"/>
      <c r="I485" s="26" t="s">
        <v>1659</v>
      </c>
      <c r="J485" s="26"/>
      <c r="K485" s="26" t="s">
        <v>45</v>
      </c>
      <c r="L485" s="26" t="s">
        <v>47</v>
      </c>
      <c r="M485" s="26" t="s">
        <v>121</v>
      </c>
      <c r="N485" s="26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</row>
    <row r="486" ht="15.75" customHeight="1">
      <c r="A486" s="26">
        <v>485.0</v>
      </c>
      <c r="B486" s="17">
        <v>45984.0</v>
      </c>
      <c r="C486" s="26" t="s">
        <v>1660</v>
      </c>
      <c r="D486" s="26"/>
      <c r="E486" s="26" t="s">
        <v>1661</v>
      </c>
      <c r="F486" s="26" t="s">
        <v>39</v>
      </c>
      <c r="G486" s="27">
        <v>500.0</v>
      </c>
      <c r="H486" s="26"/>
      <c r="I486" s="26" t="s">
        <v>1662</v>
      </c>
      <c r="J486" s="26"/>
      <c r="K486" s="26" t="s">
        <v>45</v>
      </c>
      <c r="L486" s="26" t="s">
        <v>47</v>
      </c>
      <c r="M486" s="26" t="s">
        <v>121</v>
      </c>
      <c r="N486" s="26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</row>
    <row r="487" ht="15.75" customHeight="1">
      <c r="A487" s="26">
        <v>486.0</v>
      </c>
      <c r="B487" s="17">
        <v>45984.0</v>
      </c>
      <c r="C487" s="26" t="s">
        <v>1663</v>
      </c>
      <c r="D487" s="26"/>
      <c r="E487" s="26" t="s">
        <v>1664</v>
      </c>
      <c r="F487" s="26" t="s">
        <v>39</v>
      </c>
      <c r="G487" s="27">
        <v>500.0</v>
      </c>
      <c r="H487" s="26"/>
      <c r="I487" s="26" t="s">
        <v>1665</v>
      </c>
      <c r="J487" s="26"/>
      <c r="K487" s="26" t="s">
        <v>45</v>
      </c>
      <c r="L487" s="26" t="s">
        <v>47</v>
      </c>
      <c r="M487" s="26" t="s">
        <v>121</v>
      </c>
      <c r="N487" s="26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</row>
    <row r="488" ht="15.75" customHeight="1">
      <c r="A488" s="26">
        <v>487.0</v>
      </c>
      <c r="B488" s="17">
        <v>45984.0</v>
      </c>
      <c r="C488" s="26" t="s">
        <v>1666</v>
      </c>
      <c r="D488" s="26"/>
      <c r="E488" s="26" t="s">
        <v>1667</v>
      </c>
      <c r="F488" s="26" t="s">
        <v>39</v>
      </c>
      <c r="G488" s="27">
        <v>500.0</v>
      </c>
      <c r="H488" s="26"/>
      <c r="I488" s="26" t="s">
        <v>1668</v>
      </c>
      <c r="J488" s="26"/>
      <c r="K488" s="26" t="s">
        <v>45</v>
      </c>
      <c r="L488" s="26" t="s">
        <v>47</v>
      </c>
      <c r="M488" s="26" t="s">
        <v>121</v>
      </c>
      <c r="N488" s="26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</row>
    <row r="489" ht="15.75" customHeight="1">
      <c r="A489" s="26">
        <v>488.0</v>
      </c>
      <c r="B489" s="17">
        <v>45984.0</v>
      </c>
      <c r="C489" s="26" t="s">
        <v>1669</v>
      </c>
      <c r="D489" s="26"/>
      <c r="E489" s="26" t="s">
        <v>1670</v>
      </c>
      <c r="F489" s="26" t="s">
        <v>39</v>
      </c>
      <c r="G489" s="27">
        <v>500.0</v>
      </c>
      <c r="H489" s="26"/>
      <c r="I489" s="26" t="s">
        <v>1671</v>
      </c>
      <c r="J489" s="26"/>
      <c r="K489" s="26" t="s">
        <v>45</v>
      </c>
      <c r="L489" s="26" t="s">
        <v>47</v>
      </c>
      <c r="M489" s="26" t="s">
        <v>121</v>
      </c>
      <c r="N489" s="26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</row>
    <row r="490" ht="15.75" customHeight="1">
      <c r="A490" s="26">
        <v>489.0</v>
      </c>
      <c r="B490" s="17">
        <v>45984.0</v>
      </c>
      <c r="C490" s="26" t="s">
        <v>1672</v>
      </c>
      <c r="D490" s="26"/>
      <c r="E490" s="26"/>
      <c r="F490" s="26" t="s">
        <v>39</v>
      </c>
      <c r="G490" s="27">
        <v>500.0</v>
      </c>
      <c r="H490" s="26"/>
      <c r="I490" s="26" t="s">
        <v>1673</v>
      </c>
      <c r="J490" s="26"/>
      <c r="K490" s="26" t="s">
        <v>45</v>
      </c>
      <c r="L490" s="26" t="s">
        <v>47</v>
      </c>
      <c r="M490" s="26" t="s">
        <v>121</v>
      </c>
      <c r="N490" s="26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</row>
    <row r="491" ht="15.75" customHeight="1">
      <c r="A491" s="26">
        <v>490.0</v>
      </c>
      <c r="B491" s="17">
        <v>45984.0</v>
      </c>
      <c r="C491" s="26" t="s">
        <v>1674</v>
      </c>
      <c r="D491" s="26"/>
      <c r="E491" s="26"/>
      <c r="F491" s="26" t="s">
        <v>39</v>
      </c>
      <c r="G491" s="27">
        <v>200.0</v>
      </c>
      <c r="H491" s="26"/>
      <c r="I491" s="26" t="s">
        <v>1675</v>
      </c>
      <c r="J491" s="26"/>
      <c r="K491" s="26" t="s">
        <v>45</v>
      </c>
      <c r="L491" s="26" t="s">
        <v>47</v>
      </c>
      <c r="M491" s="26" t="s">
        <v>121</v>
      </c>
      <c r="N491" s="26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</row>
    <row r="492" ht="15.75" customHeight="1">
      <c r="A492" s="26">
        <v>491.0</v>
      </c>
      <c r="B492" s="17">
        <v>45984.0</v>
      </c>
      <c r="C492" s="26" t="s">
        <v>1676</v>
      </c>
      <c r="D492" s="26"/>
      <c r="E492" s="26"/>
      <c r="F492" s="26" t="s">
        <v>39</v>
      </c>
      <c r="G492" s="27">
        <v>500.0</v>
      </c>
      <c r="H492" s="26"/>
      <c r="I492" s="26" t="s">
        <v>1677</v>
      </c>
      <c r="J492" s="26"/>
      <c r="K492" s="26" t="s">
        <v>45</v>
      </c>
      <c r="L492" s="26" t="s">
        <v>47</v>
      </c>
      <c r="M492" s="26" t="s">
        <v>121</v>
      </c>
      <c r="N492" s="26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</row>
    <row r="493" ht="15.75" customHeight="1">
      <c r="A493" s="26">
        <v>492.0</v>
      </c>
      <c r="B493" s="17">
        <v>45984.0</v>
      </c>
      <c r="C493" s="26" t="s">
        <v>1678</v>
      </c>
      <c r="D493" s="26"/>
      <c r="E493" s="26" t="s">
        <v>1679</v>
      </c>
      <c r="F493" s="26" t="s">
        <v>39</v>
      </c>
      <c r="G493" s="27">
        <v>500.0</v>
      </c>
      <c r="H493" s="26"/>
      <c r="I493" s="26" t="s">
        <v>1680</v>
      </c>
      <c r="J493" s="26"/>
      <c r="K493" s="26" t="s">
        <v>45</v>
      </c>
      <c r="L493" s="26" t="s">
        <v>47</v>
      </c>
      <c r="M493" s="26" t="s">
        <v>121</v>
      </c>
      <c r="N493" s="26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</row>
    <row r="494" ht="15.75" customHeight="1">
      <c r="A494" s="26">
        <v>493.0</v>
      </c>
      <c r="B494" s="17">
        <v>45984.0</v>
      </c>
      <c r="C494" s="26" t="s">
        <v>1681</v>
      </c>
      <c r="D494" s="26"/>
      <c r="E494" s="26" t="s">
        <v>1682</v>
      </c>
      <c r="F494" s="26" t="s">
        <v>39</v>
      </c>
      <c r="G494" s="27">
        <v>200.0</v>
      </c>
      <c r="H494" s="26"/>
      <c r="I494" s="26" t="s">
        <v>1683</v>
      </c>
      <c r="J494" s="26"/>
      <c r="K494" s="26" t="s">
        <v>45</v>
      </c>
      <c r="L494" s="26" t="s">
        <v>47</v>
      </c>
      <c r="M494" s="26" t="s">
        <v>121</v>
      </c>
      <c r="N494" s="26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</row>
    <row r="495" ht="15.75" customHeight="1">
      <c r="A495" s="26">
        <v>494.0</v>
      </c>
      <c r="B495" s="17">
        <v>45984.0</v>
      </c>
      <c r="C495" s="26" t="s">
        <v>1684</v>
      </c>
      <c r="D495" s="26"/>
      <c r="E495" s="26" t="s">
        <v>1685</v>
      </c>
      <c r="F495" s="26" t="s">
        <v>39</v>
      </c>
      <c r="G495" s="27">
        <v>500.0</v>
      </c>
      <c r="H495" s="26"/>
      <c r="I495" s="26" t="s">
        <v>1686</v>
      </c>
      <c r="J495" s="26"/>
      <c r="K495" s="26" t="s">
        <v>45</v>
      </c>
      <c r="L495" s="26" t="s">
        <v>47</v>
      </c>
      <c r="M495" s="26" t="s">
        <v>121</v>
      </c>
      <c r="N495" s="26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</row>
    <row r="496" ht="15.75" customHeight="1">
      <c r="A496" s="26">
        <v>495.0</v>
      </c>
      <c r="B496" s="17">
        <v>45984.0</v>
      </c>
      <c r="C496" s="26" t="s">
        <v>1687</v>
      </c>
      <c r="D496" s="26"/>
      <c r="E496" s="26" t="s">
        <v>1688</v>
      </c>
      <c r="F496" s="26" t="s">
        <v>39</v>
      </c>
      <c r="G496" s="27">
        <v>500.0</v>
      </c>
      <c r="H496" s="26"/>
      <c r="I496" s="26" t="s">
        <v>1689</v>
      </c>
      <c r="J496" s="26"/>
      <c r="K496" s="26" t="s">
        <v>45</v>
      </c>
      <c r="L496" s="26" t="s">
        <v>47</v>
      </c>
      <c r="M496" s="26" t="s">
        <v>121</v>
      </c>
      <c r="N496" s="26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</row>
    <row r="497" ht="15.75" customHeight="1">
      <c r="A497" s="26">
        <v>496.0</v>
      </c>
      <c r="B497" s="17">
        <v>45984.0</v>
      </c>
      <c r="C497" s="26" t="s">
        <v>442</v>
      </c>
      <c r="D497" s="26"/>
      <c r="E497" s="26" t="s">
        <v>443</v>
      </c>
      <c r="F497" s="26" t="s">
        <v>39</v>
      </c>
      <c r="G497" s="27">
        <v>500.0</v>
      </c>
      <c r="H497" s="26"/>
      <c r="I497" s="26" t="s">
        <v>1690</v>
      </c>
      <c r="J497" s="26"/>
      <c r="K497" s="26" t="s">
        <v>45</v>
      </c>
      <c r="L497" s="26" t="s">
        <v>47</v>
      </c>
      <c r="M497" s="26" t="s">
        <v>121</v>
      </c>
      <c r="N497" s="26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</row>
    <row r="498" ht="15.75" customHeight="1">
      <c r="A498" s="26">
        <v>497.0</v>
      </c>
      <c r="B498" s="17">
        <v>45984.0</v>
      </c>
      <c r="C498" s="26" t="s">
        <v>1691</v>
      </c>
      <c r="D498" s="26"/>
      <c r="E498" s="26"/>
      <c r="F498" s="26" t="s">
        <v>39</v>
      </c>
      <c r="G498" s="27">
        <v>200.0</v>
      </c>
      <c r="H498" s="26"/>
      <c r="I498" s="26" t="s">
        <v>1692</v>
      </c>
      <c r="J498" s="26"/>
      <c r="K498" s="26" t="s">
        <v>45</v>
      </c>
      <c r="L498" s="26" t="s">
        <v>47</v>
      </c>
      <c r="M498" s="26" t="s">
        <v>121</v>
      </c>
      <c r="N498" s="26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</row>
    <row r="499" ht="15.75" customHeight="1">
      <c r="A499" s="26">
        <v>498.0</v>
      </c>
      <c r="B499" s="17">
        <v>45984.0</v>
      </c>
      <c r="C499" s="26" t="s">
        <v>1693</v>
      </c>
      <c r="D499" s="26"/>
      <c r="E499" s="26" t="s">
        <v>1694</v>
      </c>
      <c r="F499" s="26" t="s">
        <v>39</v>
      </c>
      <c r="G499" s="27">
        <v>110.0</v>
      </c>
      <c r="H499" s="26"/>
      <c r="I499" s="26" t="s">
        <v>1695</v>
      </c>
      <c r="J499" s="26"/>
      <c r="K499" s="26" t="s">
        <v>45</v>
      </c>
      <c r="L499" s="26" t="s">
        <v>47</v>
      </c>
      <c r="M499" s="26" t="s">
        <v>121</v>
      </c>
      <c r="N499" s="26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</row>
    <row r="500" ht="15.75" customHeight="1">
      <c r="A500" s="26">
        <v>499.0</v>
      </c>
      <c r="B500" s="17">
        <v>45984.0</v>
      </c>
      <c r="C500" s="26" t="s">
        <v>1696</v>
      </c>
      <c r="D500" s="26"/>
      <c r="E500" s="26" t="s">
        <v>1697</v>
      </c>
      <c r="F500" s="26" t="s">
        <v>39</v>
      </c>
      <c r="G500" s="27">
        <v>5100.0</v>
      </c>
      <c r="H500" s="26"/>
      <c r="I500" s="26" t="s">
        <v>1698</v>
      </c>
      <c r="J500" s="26"/>
      <c r="K500" s="26" t="s">
        <v>45</v>
      </c>
      <c r="L500" s="26" t="s">
        <v>47</v>
      </c>
      <c r="M500" s="26" t="s">
        <v>121</v>
      </c>
      <c r="N500" s="26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</row>
    <row r="501" ht="15.75" customHeight="1">
      <c r="A501" s="26">
        <v>500.0</v>
      </c>
      <c r="B501" s="17">
        <v>45984.0</v>
      </c>
      <c r="C501" s="26" t="s">
        <v>1699</v>
      </c>
      <c r="D501" s="26"/>
      <c r="E501" s="26"/>
      <c r="F501" s="26" t="s">
        <v>39</v>
      </c>
      <c r="G501" s="27">
        <v>5100.0</v>
      </c>
      <c r="H501" s="26"/>
      <c r="I501" s="26" t="s">
        <v>1700</v>
      </c>
      <c r="J501" s="26"/>
      <c r="K501" s="26" t="s">
        <v>45</v>
      </c>
      <c r="L501" s="26" t="s">
        <v>47</v>
      </c>
      <c r="M501" s="26" t="s">
        <v>121</v>
      </c>
      <c r="N501" s="26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</row>
    <row r="502" ht="15.75" customHeight="1">
      <c r="A502" s="26">
        <v>501.0</v>
      </c>
      <c r="B502" s="17">
        <v>45984.0</v>
      </c>
      <c r="C502" s="26" t="s">
        <v>866</v>
      </c>
      <c r="D502" s="26"/>
      <c r="E502" s="26"/>
      <c r="F502" s="26" t="s">
        <v>39</v>
      </c>
      <c r="G502" s="27">
        <v>17680.0</v>
      </c>
      <c r="H502" s="26"/>
      <c r="I502" s="26" t="s">
        <v>1701</v>
      </c>
      <c r="J502" s="26"/>
      <c r="K502" s="26" t="s">
        <v>45</v>
      </c>
      <c r="L502" s="26" t="s">
        <v>47</v>
      </c>
      <c r="M502" s="26" t="s">
        <v>121</v>
      </c>
      <c r="N502" s="26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</row>
    <row r="503" ht="15.75" customHeight="1">
      <c r="A503" s="26">
        <v>502.0</v>
      </c>
      <c r="B503" s="17">
        <v>45984.0</v>
      </c>
      <c r="C503" s="26" t="s">
        <v>1702</v>
      </c>
      <c r="D503" s="26"/>
      <c r="E503" s="26" t="s">
        <v>942</v>
      </c>
      <c r="F503" s="26" t="s">
        <v>39</v>
      </c>
      <c r="G503" s="27">
        <v>5100.0</v>
      </c>
      <c r="H503" s="26"/>
      <c r="I503" s="26" t="s">
        <v>1703</v>
      </c>
      <c r="J503" s="26"/>
      <c r="K503" s="26" t="s">
        <v>45</v>
      </c>
      <c r="L503" s="26" t="s">
        <v>47</v>
      </c>
      <c r="M503" s="26" t="s">
        <v>121</v>
      </c>
      <c r="N503" s="26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</row>
    <row r="504" ht="15.75" customHeight="1">
      <c r="A504" s="26">
        <v>503.0</v>
      </c>
      <c r="B504" s="17">
        <v>45984.0</v>
      </c>
      <c r="C504" s="26" t="s">
        <v>1704</v>
      </c>
      <c r="D504" s="26"/>
      <c r="E504" s="26" t="s">
        <v>1705</v>
      </c>
      <c r="F504" s="26" t="s">
        <v>39</v>
      </c>
      <c r="G504" s="27">
        <v>1100.0</v>
      </c>
      <c r="H504" s="26"/>
      <c r="I504" s="26" t="s">
        <v>1706</v>
      </c>
      <c r="J504" s="26"/>
      <c r="K504" s="26" t="s">
        <v>45</v>
      </c>
      <c r="L504" s="26" t="s">
        <v>47</v>
      </c>
      <c r="M504" s="26" t="s">
        <v>121</v>
      </c>
      <c r="N504" s="26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</row>
    <row r="505" ht="15.75" customHeight="1">
      <c r="A505" s="26">
        <v>504.0</v>
      </c>
      <c r="B505" s="17">
        <v>45984.0</v>
      </c>
      <c r="C505" s="26" t="s">
        <v>1707</v>
      </c>
      <c r="D505" s="26"/>
      <c r="E505" s="26" t="s">
        <v>1067</v>
      </c>
      <c r="F505" s="26" t="s">
        <v>39</v>
      </c>
      <c r="G505" s="27">
        <v>11000.0</v>
      </c>
      <c r="H505" s="26"/>
      <c r="I505" s="26" t="s">
        <v>1708</v>
      </c>
      <c r="J505" s="26"/>
      <c r="K505" s="26" t="s">
        <v>45</v>
      </c>
      <c r="L505" s="26" t="s">
        <v>47</v>
      </c>
      <c r="M505" s="26" t="s">
        <v>121</v>
      </c>
      <c r="N505" s="26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</row>
    <row r="506" ht="15.75" customHeight="1">
      <c r="A506" s="26">
        <v>505.0</v>
      </c>
      <c r="B506" s="17">
        <v>45984.0</v>
      </c>
      <c r="C506" s="26" t="s">
        <v>1709</v>
      </c>
      <c r="D506" s="26"/>
      <c r="E506" s="26" t="s">
        <v>1161</v>
      </c>
      <c r="F506" s="26" t="s">
        <v>39</v>
      </c>
      <c r="G506" s="27">
        <v>2100.0</v>
      </c>
      <c r="H506" s="26"/>
      <c r="I506" s="26" t="s">
        <v>1710</v>
      </c>
      <c r="J506" s="26"/>
      <c r="K506" s="26" t="s">
        <v>45</v>
      </c>
      <c r="L506" s="26" t="s">
        <v>47</v>
      </c>
      <c r="M506" s="26" t="s">
        <v>121</v>
      </c>
      <c r="N506" s="26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</row>
    <row r="507" ht="15.75" customHeight="1">
      <c r="A507" s="26">
        <v>506.0</v>
      </c>
      <c r="B507" s="17">
        <v>45984.0</v>
      </c>
      <c r="C507" s="26" t="s">
        <v>1711</v>
      </c>
      <c r="D507" s="26"/>
      <c r="E507" s="26" t="s">
        <v>203</v>
      </c>
      <c r="F507" s="26" t="s">
        <v>39</v>
      </c>
      <c r="G507" s="27">
        <v>5100.0</v>
      </c>
      <c r="H507" s="26"/>
      <c r="I507" s="26" t="s">
        <v>1712</v>
      </c>
      <c r="J507" s="26"/>
      <c r="K507" s="26" t="s">
        <v>45</v>
      </c>
      <c r="L507" s="26" t="s">
        <v>47</v>
      </c>
      <c r="M507" s="26" t="s">
        <v>121</v>
      </c>
      <c r="N507" s="26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</row>
    <row r="508" ht="15.75" customHeight="1">
      <c r="A508" s="26">
        <v>507.0</v>
      </c>
      <c r="B508" s="17">
        <v>45984.0</v>
      </c>
      <c r="C508" s="26" t="s">
        <v>1713</v>
      </c>
      <c r="D508" s="26"/>
      <c r="E508" s="26"/>
      <c r="F508" s="26" t="s">
        <v>39</v>
      </c>
      <c r="G508" s="27">
        <v>11000.0</v>
      </c>
      <c r="H508" s="26"/>
      <c r="I508" s="26" t="s">
        <v>1714</v>
      </c>
      <c r="J508" s="26"/>
      <c r="K508" s="26" t="s">
        <v>45</v>
      </c>
      <c r="L508" s="26" t="s">
        <v>47</v>
      </c>
      <c r="M508" s="26" t="s">
        <v>121</v>
      </c>
      <c r="N508" s="26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</row>
    <row r="509" ht="15.75" customHeight="1">
      <c r="A509" s="26">
        <v>508.0</v>
      </c>
      <c r="B509" s="17">
        <v>45984.0</v>
      </c>
      <c r="C509" s="26" t="s">
        <v>623</v>
      </c>
      <c r="D509" s="26"/>
      <c r="E509" s="26"/>
      <c r="F509" s="26" t="s">
        <v>39</v>
      </c>
      <c r="G509" s="27">
        <v>5100.0</v>
      </c>
      <c r="H509" s="26"/>
      <c r="I509" s="26" t="s">
        <v>1715</v>
      </c>
      <c r="J509" s="26"/>
      <c r="K509" s="26" t="s">
        <v>45</v>
      </c>
      <c r="L509" s="26" t="s">
        <v>47</v>
      </c>
      <c r="M509" s="26" t="s">
        <v>121</v>
      </c>
      <c r="N509" s="26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</row>
    <row r="510" ht="15.75" customHeight="1">
      <c r="A510" s="26">
        <v>509.0</v>
      </c>
      <c r="B510" s="17">
        <v>45984.0</v>
      </c>
      <c r="C510" s="26" t="s">
        <v>818</v>
      </c>
      <c r="D510" s="26"/>
      <c r="E510" s="26"/>
      <c r="F510" s="26" t="s">
        <v>39</v>
      </c>
      <c r="G510" s="27">
        <v>3100.0</v>
      </c>
      <c r="H510" s="26"/>
      <c r="I510" s="26" t="s">
        <v>1716</v>
      </c>
      <c r="J510" s="26"/>
      <c r="K510" s="26" t="s">
        <v>45</v>
      </c>
      <c r="L510" s="26" t="s">
        <v>47</v>
      </c>
      <c r="M510" s="26" t="s">
        <v>121</v>
      </c>
      <c r="N510" s="26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</row>
    <row r="511" ht="15.75" customHeight="1">
      <c r="A511" s="26">
        <v>510.0</v>
      </c>
      <c r="B511" s="17">
        <v>45985.0</v>
      </c>
      <c r="C511" s="26" t="s">
        <v>1717</v>
      </c>
      <c r="D511" s="26"/>
      <c r="E511" s="26"/>
      <c r="F511" s="26" t="s">
        <v>39</v>
      </c>
      <c r="G511" s="27">
        <v>1100.0</v>
      </c>
      <c r="H511" s="26"/>
      <c r="I511" s="26" t="s">
        <v>1718</v>
      </c>
      <c r="J511" s="26"/>
      <c r="K511" s="26" t="s">
        <v>45</v>
      </c>
      <c r="L511" s="26" t="s">
        <v>47</v>
      </c>
      <c r="M511" s="26" t="s">
        <v>121</v>
      </c>
      <c r="N511" s="26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</row>
    <row r="512" ht="15.75" customHeight="1">
      <c r="A512" s="26">
        <v>511.0</v>
      </c>
      <c r="B512" s="17">
        <v>45985.0</v>
      </c>
      <c r="C512" s="26" t="s">
        <v>756</v>
      </c>
      <c r="D512" s="26"/>
      <c r="E512" s="26"/>
      <c r="F512" s="26" t="s">
        <v>39</v>
      </c>
      <c r="G512" s="27">
        <v>700.0</v>
      </c>
      <c r="H512" s="26"/>
      <c r="I512" s="26" t="s">
        <v>1719</v>
      </c>
      <c r="J512" s="26"/>
      <c r="K512" s="26" t="s">
        <v>45</v>
      </c>
      <c r="L512" s="26" t="s">
        <v>47</v>
      </c>
      <c r="M512" s="26" t="s">
        <v>121</v>
      </c>
      <c r="N512" s="26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</row>
    <row r="513" ht="15.75" customHeight="1">
      <c r="A513" s="26">
        <v>512.0</v>
      </c>
      <c r="B513" s="17">
        <v>45985.0</v>
      </c>
      <c r="C513" s="26" t="s">
        <v>1028</v>
      </c>
      <c r="D513" s="26"/>
      <c r="E513" s="26"/>
      <c r="F513" s="26" t="s">
        <v>39</v>
      </c>
      <c r="G513" s="27">
        <v>500.0</v>
      </c>
      <c r="H513" s="26"/>
      <c r="I513" s="26" t="s">
        <v>1720</v>
      </c>
      <c r="J513" s="26"/>
      <c r="K513" s="26" t="s">
        <v>45</v>
      </c>
      <c r="L513" s="26" t="s">
        <v>47</v>
      </c>
      <c r="M513" s="26" t="s">
        <v>121</v>
      </c>
      <c r="N513" s="26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</row>
    <row r="514" ht="15.75" customHeight="1">
      <c r="A514" s="26">
        <v>513.0</v>
      </c>
      <c r="B514" s="17">
        <v>45985.0</v>
      </c>
      <c r="C514" s="26" t="s">
        <v>1721</v>
      </c>
      <c r="D514" s="26"/>
      <c r="E514" s="26"/>
      <c r="F514" s="26"/>
      <c r="G514" s="27">
        <v>0.0</v>
      </c>
      <c r="H514" s="26"/>
      <c r="I514" s="26" t="s">
        <v>1722</v>
      </c>
      <c r="J514" s="26"/>
      <c r="K514" s="26" t="s">
        <v>45</v>
      </c>
      <c r="L514" s="26" t="s">
        <v>47</v>
      </c>
      <c r="M514" s="26" t="s">
        <v>121</v>
      </c>
      <c r="N514" s="26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</row>
    <row r="515" ht="15.75" customHeight="1">
      <c r="A515" s="26">
        <v>514.0</v>
      </c>
      <c r="B515" s="17">
        <v>45985.0</v>
      </c>
      <c r="C515" s="26" t="s">
        <v>1723</v>
      </c>
      <c r="D515" s="26"/>
      <c r="E515" s="26"/>
      <c r="F515" s="26" t="s">
        <v>39</v>
      </c>
      <c r="G515" s="27">
        <v>1100.0</v>
      </c>
      <c r="H515" s="26"/>
      <c r="I515" s="26" t="s">
        <v>1724</v>
      </c>
      <c r="J515" s="26"/>
      <c r="K515" s="26" t="s">
        <v>45</v>
      </c>
      <c r="L515" s="26" t="s">
        <v>47</v>
      </c>
      <c r="M515" s="26" t="s">
        <v>121</v>
      </c>
      <c r="N515" s="26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</row>
    <row r="516" ht="15.75" customHeight="1">
      <c r="A516" s="26">
        <v>515.0</v>
      </c>
      <c r="B516" s="17">
        <v>45985.0</v>
      </c>
      <c r="C516" s="26" t="s">
        <v>1580</v>
      </c>
      <c r="D516" s="26"/>
      <c r="E516" s="26" t="s">
        <v>200</v>
      </c>
      <c r="F516" s="26" t="s">
        <v>39</v>
      </c>
      <c r="G516" s="27">
        <v>21000.0</v>
      </c>
      <c r="H516" s="26"/>
      <c r="I516" s="26" t="s">
        <v>1725</v>
      </c>
      <c r="J516" s="26"/>
      <c r="K516" s="26" t="s">
        <v>45</v>
      </c>
      <c r="L516" s="26" t="s">
        <v>47</v>
      </c>
      <c r="M516" s="26" t="s">
        <v>121</v>
      </c>
      <c r="N516" s="26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</row>
    <row r="517" ht="15.75" customHeight="1">
      <c r="A517" s="26">
        <v>516.0</v>
      </c>
      <c r="B517" s="17">
        <v>45918.0</v>
      </c>
      <c r="C517" s="26" t="s">
        <v>1726</v>
      </c>
      <c r="D517" s="26"/>
      <c r="E517" s="26" t="s">
        <v>1727</v>
      </c>
      <c r="F517" s="26" t="s">
        <v>39</v>
      </c>
      <c r="G517" s="27">
        <v>5000.0</v>
      </c>
      <c r="H517" s="26"/>
      <c r="I517" s="26" t="s">
        <v>1728</v>
      </c>
      <c r="J517" s="26"/>
      <c r="K517" s="26" t="s">
        <v>45</v>
      </c>
      <c r="L517" s="26" t="s">
        <v>47</v>
      </c>
      <c r="M517" s="26" t="s">
        <v>171</v>
      </c>
      <c r="N517" s="26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</row>
    <row r="518" ht="15.75" customHeight="1">
      <c r="A518" s="26">
        <v>517.0</v>
      </c>
      <c r="B518" s="17">
        <v>45922.0</v>
      </c>
      <c r="C518" s="26" t="s">
        <v>1729</v>
      </c>
      <c r="D518" s="26"/>
      <c r="E518" s="26" t="s">
        <v>1730</v>
      </c>
      <c r="F518" s="26" t="s">
        <v>39</v>
      </c>
      <c r="G518" s="27">
        <v>5100.0</v>
      </c>
      <c r="H518" s="26"/>
      <c r="I518" s="26" t="s">
        <v>1731</v>
      </c>
      <c r="J518" s="26"/>
      <c r="K518" s="26" t="s">
        <v>45</v>
      </c>
      <c r="L518" s="26" t="s">
        <v>47</v>
      </c>
      <c r="M518" s="26" t="s">
        <v>171</v>
      </c>
      <c r="N518" s="26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</row>
    <row r="519" ht="15.75" customHeight="1">
      <c r="A519" s="26">
        <v>518.0</v>
      </c>
      <c r="B519" s="17">
        <v>45922.0</v>
      </c>
      <c r="C519" s="26" t="s">
        <v>1732</v>
      </c>
      <c r="D519" s="26"/>
      <c r="E519" s="26" t="s">
        <v>503</v>
      </c>
      <c r="F519" s="26" t="s">
        <v>39</v>
      </c>
      <c r="G519" s="27">
        <v>2100.0</v>
      </c>
      <c r="H519" s="26"/>
      <c r="I519" s="26" t="s">
        <v>1733</v>
      </c>
      <c r="J519" s="26"/>
      <c r="K519" s="26" t="s">
        <v>45</v>
      </c>
      <c r="L519" s="26" t="s">
        <v>47</v>
      </c>
      <c r="M519" s="26" t="s">
        <v>171</v>
      </c>
      <c r="N519" s="26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</row>
    <row r="520" ht="15.75" customHeight="1">
      <c r="A520" s="26">
        <v>519.0</v>
      </c>
      <c r="B520" s="17">
        <v>45962.0</v>
      </c>
      <c r="C520" s="26" t="s">
        <v>1105</v>
      </c>
      <c r="D520" s="26"/>
      <c r="E520" s="26" t="s">
        <v>1734</v>
      </c>
      <c r="F520" s="26" t="s">
        <v>39</v>
      </c>
      <c r="G520" s="27">
        <v>3100.0</v>
      </c>
      <c r="H520" s="26"/>
      <c r="I520" s="26" t="s">
        <v>1735</v>
      </c>
      <c r="J520" s="26"/>
      <c r="K520" s="26" t="s">
        <v>45</v>
      </c>
      <c r="L520" s="26" t="s">
        <v>47</v>
      </c>
      <c r="M520" s="26" t="s">
        <v>171</v>
      </c>
      <c r="N520" s="26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</row>
    <row r="521" ht="15.75" customHeight="1">
      <c r="A521" s="26">
        <v>520.0</v>
      </c>
      <c r="B521" s="17">
        <v>45975.0</v>
      </c>
      <c r="C521" s="26" t="s">
        <v>1736</v>
      </c>
      <c r="D521" s="26"/>
      <c r="E521" s="26" t="s">
        <v>369</v>
      </c>
      <c r="F521" s="26" t="s">
        <v>39</v>
      </c>
      <c r="G521" s="27">
        <v>5000.0</v>
      </c>
      <c r="H521" s="26"/>
      <c r="I521" s="26" t="s">
        <v>1737</v>
      </c>
      <c r="J521" s="26"/>
      <c r="K521" s="26" t="s">
        <v>45</v>
      </c>
      <c r="L521" s="26" t="s">
        <v>47</v>
      </c>
      <c r="M521" s="26" t="s">
        <v>171</v>
      </c>
      <c r="N521" s="26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</row>
    <row r="522" ht="15.75" customHeight="1">
      <c r="A522" s="26">
        <v>521.0</v>
      </c>
      <c r="B522" s="17">
        <v>45975.0</v>
      </c>
      <c r="C522" s="26" t="s">
        <v>1738</v>
      </c>
      <c r="D522" s="26"/>
      <c r="E522" s="26"/>
      <c r="F522" s="26" t="s">
        <v>39</v>
      </c>
      <c r="G522" s="27">
        <v>2100.0</v>
      </c>
      <c r="H522" s="26"/>
      <c r="I522" s="26" t="s">
        <v>1739</v>
      </c>
      <c r="J522" s="26"/>
      <c r="K522" s="26" t="s">
        <v>45</v>
      </c>
      <c r="L522" s="26" t="s">
        <v>47</v>
      </c>
      <c r="M522" s="26" t="s">
        <v>171</v>
      </c>
      <c r="N522" s="26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</row>
    <row r="523" ht="15.75" customHeight="1">
      <c r="A523" s="26">
        <v>522.0</v>
      </c>
      <c r="B523" s="17">
        <v>45975.0</v>
      </c>
      <c r="C523" s="26" t="s">
        <v>217</v>
      </c>
      <c r="D523" s="26"/>
      <c r="E523" s="26" t="s">
        <v>928</v>
      </c>
      <c r="F523" s="26" t="s">
        <v>39</v>
      </c>
      <c r="G523" s="27">
        <v>1100.0</v>
      </c>
      <c r="H523" s="26"/>
      <c r="I523" s="26" t="s">
        <v>1740</v>
      </c>
      <c r="J523" s="26"/>
      <c r="K523" s="26" t="s">
        <v>45</v>
      </c>
      <c r="L523" s="26" t="s">
        <v>47</v>
      </c>
      <c r="M523" s="26" t="s">
        <v>171</v>
      </c>
      <c r="N523" s="26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</row>
    <row r="524" ht="15.75" customHeight="1">
      <c r="A524" s="26">
        <v>523.0</v>
      </c>
      <c r="B524" s="17">
        <v>45977.0</v>
      </c>
      <c r="C524" s="26" t="s">
        <v>1741</v>
      </c>
      <c r="D524" s="26"/>
      <c r="E524" s="26" t="s">
        <v>1742</v>
      </c>
      <c r="F524" s="26" t="s">
        <v>39</v>
      </c>
      <c r="G524" s="27">
        <v>11000.0</v>
      </c>
      <c r="H524" s="26"/>
      <c r="I524" s="26" t="s">
        <v>1743</v>
      </c>
      <c r="J524" s="26"/>
      <c r="K524" s="26" t="s">
        <v>45</v>
      </c>
      <c r="L524" s="26" t="s">
        <v>47</v>
      </c>
      <c r="M524" s="26" t="s">
        <v>171</v>
      </c>
      <c r="N524" s="26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</row>
    <row r="525" ht="15.75" customHeight="1">
      <c r="A525" s="26">
        <v>524.0</v>
      </c>
      <c r="B525" s="17">
        <v>45978.0</v>
      </c>
      <c r="C525" s="26" t="s">
        <v>1744</v>
      </c>
      <c r="D525" s="26"/>
      <c r="E525" s="26" t="s">
        <v>1282</v>
      </c>
      <c r="F525" s="26" t="s">
        <v>39</v>
      </c>
      <c r="G525" s="27">
        <v>1100.0</v>
      </c>
      <c r="H525" s="26"/>
      <c r="I525" s="26" t="s">
        <v>1745</v>
      </c>
      <c r="J525" s="26"/>
      <c r="K525" s="26" t="s">
        <v>45</v>
      </c>
      <c r="L525" s="26" t="s">
        <v>47</v>
      </c>
      <c r="M525" s="26" t="s">
        <v>171</v>
      </c>
      <c r="N525" s="26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</row>
    <row r="526" ht="15.75" customHeight="1">
      <c r="A526" s="26">
        <v>525.0</v>
      </c>
      <c r="B526" s="17">
        <v>45978.0</v>
      </c>
      <c r="C526" s="26" t="s">
        <v>1746</v>
      </c>
      <c r="D526" s="26"/>
      <c r="E526" s="26" t="s">
        <v>1352</v>
      </c>
      <c r="F526" s="26" t="s">
        <v>39</v>
      </c>
      <c r="G526" s="27">
        <v>11000.0</v>
      </c>
      <c r="H526" s="26"/>
      <c r="I526" s="26" t="s">
        <v>1747</v>
      </c>
      <c r="J526" s="26"/>
      <c r="K526" s="26" t="s">
        <v>45</v>
      </c>
      <c r="L526" s="26" t="s">
        <v>47</v>
      </c>
      <c r="M526" s="26" t="s">
        <v>171</v>
      </c>
      <c r="N526" s="26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</row>
    <row r="527" ht="15.75" customHeight="1">
      <c r="A527" s="26">
        <v>526.0</v>
      </c>
      <c r="B527" s="17">
        <v>45979.0</v>
      </c>
      <c r="C527" s="26" t="s">
        <v>1748</v>
      </c>
      <c r="D527" s="26"/>
      <c r="E527" s="26" t="s">
        <v>1749</v>
      </c>
      <c r="F527" s="26" t="s">
        <v>39</v>
      </c>
      <c r="G527" s="27">
        <v>1100.0</v>
      </c>
      <c r="H527" s="26"/>
      <c r="I527" s="26" t="s">
        <v>1750</v>
      </c>
      <c r="J527" s="26"/>
      <c r="K527" s="26" t="s">
        <v>45</v>
      </c>
      <c r="L527" s="26" t="s">
        <v>47</v>
      </c>
      <c r="M527" s="26" t="s">
        <v>171</v>
      </c>
      <c r="N527" s="26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</row>
    <row r="528" ht="15.75" customHeight="1">
      <c r="A528" s="26">
        <v>527.0</v>
      </c>
      <c r="B528" s="17">
        <v>45979.0</v>
      </c>
      <c r="C528" s="26" t="s">
        <v>1732</v>
      </c>
      <c r="D528" s="26"/>
      <c r="E528" s="26" t="s">
        <v>503</v>
      </c>
      <c r="F528" s="26" t="s">
        <v>39</v>
      </c>
      <c r="G528" s="27">
        <v>2100.0</v>
      </c>
      <c r="H528" s="26"/>
      <c r="I528" s="26" t="s">
        <v>1751</v>
      </c>
      <c r="J528" s="26"/>
      <c r="K528" s="26" t="s">
        <v>45</v>
      </c>
      <c r="L528" s="26" t="s">
        <v>47</v>
      </c>
      <c r="M528" s="26" t="s">
        <v>171</v>
      </c>
      <c r="N528" s="26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</row>
    <row r="529" ht="15.75" customHeight="1">
      <c r="A529" s="26">
        <v>528.0</v>
      </c>
      <c r="B529" s="17">
        <v>45979.0</v>
      </c>
      <c r="C529" s="26" t="s">
        <v>145</v>
      </c>
      <c r="D529" s="26"/>
      <c r="E529" s="26"/>
      <c r="F529" s="26" t="s">
        <v>39</v>
      </c>
      <c r="G529" s="27">
        <v>3100.0</v>
      </c>
      <c r="H529" s="26"/>
      <c r="I529" s="26" t="s">
        <v>1752</v>
      </c>
      <c r="J529" s="26"/>
      <c r="K529" s="26" t="s">
        <v>45</v>
      </c>
      <c r="L529" s="26" t="s">
        <v>47</v>
      </c>
      <c r="M529" s="26" t="s">
        <v>171</v>
      </c>
      <c r="N529" s="26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</row>
    <row r="530" ht="15.75" customHeight="1">
      <c r="A530" s="26">
        <v>529.0</v>
      </c>
      <c r="B530" s="17">
        <v>45980.0</v>
      </c>
      <c r="C530" s="26" t="s">
        <v>1753</v>
      </c>
      <c r="D530" s="26"/>
      <c r="E530" s="26" t="s">
        <v>1754</v>
      </c>
      <c r="F530" s="26" t="s">
        <v>39</v>
      </c>
      <c r="G530" s="27">
        <v>5100.0</v>
      </c>
      <c r="H530" s="26"/>
      <c r="I530" s="26" t="s">
        <v>1755</v>
      </c>
      <c r="J530" s="26"/>
      <c r="K530" s="26" t="s">
        <v>45</v>
      </c>
      <c r="L530" s="26" t="s">
        <v>47</v>
      </c>
      <c r="M530" s="26" t="s">
        <v>171</v>
      </c>
      <c r="N530" s="26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</row>
    <row r="531" ht="15.75" customHeight="1">
      <c r="A531" s="26">
        <v>530.0</v>
      </c>
      <c r="B531" s="17">
        <v>45981.0</v>
      </c>
      <c r="C531" s="26" t="s">
        <v>1756</v>
      </c>
      <c r="D531" s="26"/>
      <c r="E531" s="26" t="s">
        <v>200</v>
      </c>
      <c r="F531" s="26" t="s">
        <v>39</v>
      </c>
      <c r="G531" s="27">
        <v>1100.0</v>
      </c>
      <c r="H531" s="26"/>
      <c r="I531" s="26" t="s">
        <v>1757</v>
      </c>
      <c r="J531" s="26"/>
      <c r="K531" s="26" t="s">
        <v>45</v>
      </c>
      <c r="L531" s="26" t="s">
        <v>47</v>
      </c>
      <c r="M531" s="26" t="s">
        <v>171</v>
      </c>
      <c r="N531" s="26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</row>
    <row r="532" ht="15.75" customHeight="1">
      <c r="A532" s="26">
        <v>531.0</v>
      </c>
      <c r="B532" s="17">
        <v>45981.0</v>
      </c>
      <c r="C532" s="26" t="s">
        <v>1758</v>
      </c>
      <c r="D532" s="26"/>
      <c r="E532" s="26" t="s">
        <v>1023</v>
      </c>
      <c r="F532" s="26" t="s">
        <v>39</v>
      </c>
      <c r="G532" s="27">
        <v>11000.0</v>
      </c>
      <c r="H532" s="26"/>
      <c r="I532" s="26" t="s">
        <v>1759</v>
      </c>
      <c r="J532" s="26"/>
      <c r="K532" s="26" t="s">
        <v>45</v>
      </c>
      <c r="L532" s="26" t="s">
        <v>47</v>
      </c>
      <c r="M532" s="26" t="s">
        <v>171</v>
      </c>
      <c r="N532" s="26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</row>
    <row r="533" ht="15.75" customHeight="1">
      <c r="A533" s="26">
        <v>532.0</v>
      </c>
      <c r="B533" s="17">
        <v>45990.0</v>
      </c>
      <c r="C533" s="26" t="s">
        <v>718</v>
      </c>
      <c r="D533" s="26"/>
      <c r="E533" s="26" t="s">
        <v>1760</v>
      </c>
      <c r="F533" s="26" t="s">
        <v>39</v>
      </c>
      <c r="G533" s="27">
        <v>1100.0</v>
      </c>
      <c r="H533" s="26"/>
      <c r="I533" s="26" t="s">
        <v>1761</v>
      </c>
      <c r="J533" s="26"/>
      <c r="K533" s="26" t="s">
        <v>45</v>
      </c>
      <c r="L533" s="26" t="s">
        <v>47</v>
      </c>
      <c r="M533" s="26" t="s">
        <v>171</v>
      </c>
      <c r="N533" s="26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</row>
    <row r="534" ht="15.75" customHeight="1">
      <c r="A534" s="26">
        <v>533.0</v>
      </c>
      <c r="B534" s="17">
        <v>45946.0</v>
      </c>
      <c r="C534" s="26" t="s">
        <v>145</v>
      </c>
      <c r="D534" s="26"/>
      <c r="E534" s="26"/>
      <c r="F534" s="26" t="s">
        <v>39</v>
      </c>
      <c r="G534" s="27">
        <v>2100.0</v>
      </c>
      <c r="H534" s="26"/>
      <c r="I534" s="26" t="s">
        <v>1762</v>
      </c>
      <c r="J534" s="26"/>
      <c r="K534" s="26" t="s">
        <v>45</v>
      </c>
      <c r="L534" s="26" t="s">
        <v>47</v>
      </c>
      <c r="M534" s="26" t="s">
        <v>313</v>
      </c>
      <c r="N534" s="26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</row>
    <row r="535" ht="15.75" customHeight="1">
      <c r="A535" s="26">
        <v>534.0</v>
      </c>
      <c r="B535" s="17">
        <v>45975.0</v>
      </c>
      <c r="C535" s="26" t="s">
        <v>145</v>
      </c>
      <c r="D535" s="26"/>
      <c r="E535" s="26"/>
      <c r="F535" s="26" t="s">
        <v>39</v>
      </c>
      <c r="G535" s="27">
        <v>2100.0</v>
      </c>
      <c r="H535" s="26"/>
      <c r="I535" s="26" t="s">
        <v>1763</v>
      </c>
      <c r="J535" s="26"/>
      <c r="K535" s="26" t="s">
        <v>45</v>
      </c>
      <c r="L535" s="26" t="s">
        <v>47</v>
      </c>
      <c r="M535" s="26" t="s">
        <v>313</v>
      </c>
      <c r="N535" s="26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</row>
    <row r="536" ht="15.75" customHeight="1">
      <c r="A536" s="26">
        <v>535.0</v>
      </c>
      <c r="B536" s="17">
        <v>45976.0</v>
      </c>
      <c r="C536" s="26" t="s">
        <v>145</v>
      </c>
      <c r="D536" s="26"/>
      <c r="E536" s="26"/>
      <c r="F536" s="26" t="s">
        <v>39</v>
      </c>
      <c r="G536" s="27">
        <v>500.0</v>
      </c>
      <c r="H536" s="26"/>
      <c r="I536" s="26" t="s">
        <v>1764</v>
      </c>
      <c r="J536" s="26"/>
      <c r="K536" s="26" t="s">
        <v>45</v>
      </c>
      <c r="L536" s="26" t="s">
        <v>47</v>
      </c>
      <c r="M536" s="26" t="s">
        <v>313</v>
      </c>
      <c r="N536" s="26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</row>
    <row r="537" ht="15.75" customHeight="1">
      <c r="A537" s="26">
        <v>536.0</v>
      </c>
      <c r="B537" s="17">
        <v>45980.0</v>
      </c>
      <c r="C537" s="26" t="s">
        <v>1765</v>
      </c>
      <c r="D537" s="26"/>
      <c r="E537" s="26" t="s">
        <v>1766</v>
      </c>
      <c r="F537" s="26" t="s">
        <v>39</v>
      </c>
      <c r="G537" s="27">
        <v>2100.0</v>
      </c>
      <c r="H537" s="26"/>
      <c r="I537" s="26" t="s">
        <v>1767</v>
      </c>
      <c r="J537" s="26"/>
      <c r="K537" s="26" t="s">
        <v>45</v>
      </c>
      <c r="L537" s="26" t="s">
        <v>47</v>
      </c>
      <c r="M537" s="26" t="s">
        <v>313</v>
      </c>
      <c r="N537" s="26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</row>
    <row r="538" ht="15.75" customHeight="1">
      <c r="A538" s="26">
        <v>537.0</v>
      </c>
      <c r="B538" s="17">
        <v>45980.0</v>
      </c>
      <c r="C538" s="26" t="s">
        <v>1467</v>
      </c>
      <c r="D538" s="26"/>
      <c r="E538" s="26"/>
      <c r="F538" s="26" t="s">
        <v>39</v>
      </c>
      <c r="G538" s="27">
        <v>10000.0</v>
      </c>
      <c r="H538" s="26"/>
      <c r="I538" s="26" t="s">
        <v>1768</v>
      </c>
      <c r="J538" s="26"/>
      <c r="K538" s="26" t="s">
        <v>45</v>
      </c>
      <c r="L538" s="26" t="s">
        <v>47</v>
      </c>
      <c r="M538" s="26" t="s">
        <v>313</v>
      </c>
      <c r="N538" s="26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</row>
    <row r="539" ht="15.75" customHeight="1">
      <c r="A539" s="26">
        <v>538.0</v>
      </c>
      <c r="B539" s="17">
        <v>45980.0</v>
      </c>
      <c r="C539" s="26" t="s">
        <v>1769</v>
      </c>
      <c r="D539" s="26"/>
      <c r="E539" s="26" t="s">
        <v>1770</v>
      </c>
      <c r="F539" s="26" t="s">
        <v>39</v>
      </c>
      <c r="G539" s="27">
        <v>251.0</v>
      </c>
      <c r="H539" s="26"/>
      <c r="I539" s="26" t="s">
        <v>1771</v>
      </c>
      <c r="J539" s="26"/>
      <c r="K539" s="26" t="s">
        <v>45</v>
      </c>
      <c r="L539" s="26" t="s">
        <v>47</v>
      </c>
      <c r="M539" s="26" t="s">
        <v>313</v>
      </c>
      <c r="N539" s="26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</row>
    <row r="540" ht="15.75" customHeight="1">
      <c r="A540" s="26">
        <v>539.0</v>
      </c>
      <c r="B540" s="17">
        <v>45980.0</v>
      </c>
      <c r="C540" s="26" t="s">
        <v>145</v>
      </c>
      <c r="D540" s="26"/>
      <c r="E540" s="26"/>
      <c r="F540" s="26" t="s">
        <v>39</v>
      </c>
      <c r="G540" s="27">
        <v>1100.0</v>
      </c>
      <c r="H540" s="26"/>
      <c r="I540" s="26" t="s">
        <v>1772</v>
      </c>
      <c r="J540" s="26"/>
      <c r="K540" s="26" t="s">
        <v>45</v>
      </c>
      <c r="L540" s="26" t="s">
        <v>47</v>
      </c>
      <c r="M540" s="26" t="s">
        <v>313</v>
      </c>
      <c r="N540" s="26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</row>
    <row r="541" ht="15.75" customHeight="1">
      <c r="A541" s="26">
        <v>540.0</v>
      </c>
      <c r="B541" s="17">
        <v>45980.0</v>
      </c>
      <c r="C541" s="26" t="s">
        <v>1773</v>
      </c>
      <c r="D541" s="26"/>
      <c r="E541" s="26" t="s">
        <v>1091</v>
      </c>
      <c r="F541" s="26" t="s">
        <v>39</v>
      </c>
      <c r="G541" s="27">
        <v>2100.0</v>
      </c>
      <c r="H541" s="26"/>
      <c r="I541" s="26" t="s">
        <v>1774</v>
      </c>
      <c r="J541" s="26"/>
      <c r="K541" s="26" t="s">
        <v>45</v>
      </c>
      <c r="L541" s="26" t="s">
        <v>47</v>
      </c>
      <c r="M541" s="26" t="s">
        <v>313</v>
      </c>
      <c r="N541" s="26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</row>
    <row r="542" ht="15.75" customHeight="1">
      <c r="A542" s="26">
        <v>541.0</v>
      </c>
      <c r="B542" s="17">
        <v>45972.0</v>
      </c>
      <c r="C542" s="26" t="s">
        <v>1775</v>
      </c>
      <c r="D542" s="26"/>
      <c r="E542" s="26" t="s">
        <v>1776</v>
      </c>
      <c r="F542" s="26" t="s">
        <v>39</v>
      </c>
      <c r="G542" s="27">
        <v>1100.0</v>
      </c>
      <c r="H542" s="26"/>
      <c r="I542" s="26" t="s">
        <v>1777</v>
      </c>
      <c r="J542" s="26"/>
      <c r="K542" s="26" t="s">
        <v>45</v>
      </c>
      <c r="L542" s="26" t="s">
        <v>47</v>
      </c>
      <c r="M542" s="26" t="s">
        <v>61</v>
      </c>
      <c r="N542" s="26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</row>
    <row r="543" ht="15.75" customHeight="1">
      <c r="A543" s="26">
        <v>542.0</v>
      </c>
      <c r="B543" s="17">
        <v>45972.0</v>
      </c>
      <c r="C543" s="26" t="s">
        <v>1778</v>
      </c>
      <c r="D543" s="26"/>
      <c r="E543" s="26" t="s">
        <v>1779</v>
      </c>
      <c r="F543" s="26" t="s">
        <v>39</v>
      </c>
      <c r="G543" s="27">
        <v>11101.0</v>
      </c>
      <c r="H543" s="26"/>
      <c r="I543" s="26" t="s">
        <v>1780</v>
      </c>
      <c r="J543" s="26"/>
      <c r="K543" s="26" t="s">
        <v>45</v>
      </c>
      <c r="L543" s="26" t="s">
        <v>47</v>
      </c>
      <c r="M543" s="26" t="s">
        <v>61</v>
      </c>
      <c r="N543" s="26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</row>
    <row r="544" ht="15.75" customHeight="1">
      <c r="A544" s="26">
        <v>543.0</v>
      </c>
      <c r="B544" s="17">
        <v>45976.0</v>
      </c>
      <c r="C544" s="26" t="s">
        <v>1781</v>
      </c>
      <c r="D544" s="26"/>
      <c r="E544" s="26"/>
      <c r="F544" s="26" t="s">
        <v>39</v>
      </c>
      <c r="G544" s="27">
        <v>500.0</v>
      </c>
      <c r="H544" s="26"/>
      <c r="I544" s="26" t="s">
        <v>1782</v>
      </c>
      <c r="J544" s="26"/>
      <c r="K544" s="26" t="s">
        <v>45</v>
      </c>
      <c r="L544" s="26" t="s">
        <v>47</v>
      </c>
      <c r="M544" s="26" t="s">
        <v>61</v>
      </c>
      <c r="N544" s="26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</row>
    <row r="545" ht="15.75" customHeight="1">
      <c r="A545" s="26">
        <v>544.0</v>
      </c>
      <c r="B545" s="17">
        <v>45977.0</v>
      </c>
      <c r="C545" s="26" t="s">
        <v>1783</v>
      </c>
      <c r="D545" s="26"/>
      <c r="E545" s="26"/>
      <c r="F545" s="26" t="s">
        <v>39</v>
      </c>
      <c r="G545" s="27">
        <v>500.0</v>
      </c>
      <c r="H545" s="26"/>
      <c r="I545" s="26" t="s">
        <v>1784</v>
      </c>
      <c r="J545" s="26"/>
      <c r="K545" s="26" t="s">
        <v>45</v>
      </c>
      <c r="L545" s="26" t="s">
        <v>47</v>
      </c>
      <c r="M545" s="26" t="s">
        <v>61</v>
      </c>
      <c r="N545" s="26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</row>
    <row r="546" ht="15.75" customHeight="1">
      <c r="A546" s="26">
        <v>545.0</v>
      </c>
      <c r="B546" s="17">
        <v>45977.0</v>
      </c>
      <c r="C546" s="26" t="s">
        <v>145</v>
      </c>
      <c r="D546" s="26"/>
      <c r="E546" s="26"/>
      <c r="F546" s="26" t="s">
        <v>39</v>
      </c>
      <c r="G546" s="27">
        <v>1000.0</v>
      </c>
      <c r="H546" s="26"/>
      <c r="I546" s="26" t="s">
        <v>1785</v>
      </c>
      <c r="J546" s="26"/>
      <c r="K546" s="26" t="s">
        <v>45</v>
      </c>
      <c r="L546" s="26" t="s">
        <v>47</v>
      </c>
      <c r="M546" s="26" t="s">
        <v>61</v>
      </c>
      <c r="N546" s="26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</row>
    <row r="547" ht="15.75" customHeight="1">
      <c r="A547" s="26">
        <v>546.0</v>
      </c>
      <c r="B547" s="17">
        <v>45977.0</v>
      </c>
      <c r="C547" s="26" t="s">
        <v>1786</v>
      </c>
      <c r="D547" s="26"/>
      <c r="E547" s="26"/>
      <c r="F547" s="26" t="s">
        <v>39</v>
      </c>
      <c r="G547" s="27">
        <v>1100.0</v>
      </c>
      <c r="H547" s="26"/>
      <c r="I547" s="26" t="s">
        <v>1787</v>
      </c>
      <c r="J547" s="26"/>
      <c r="K547" s="26" t="s">
        <v>45</v>
      </c>
      <c r="L547" s="26" t="s">
        <v>47</v>
      </c>
      <c r="M547" s="26" t="s">
        <v>61</v>
      </c>
      <c r="N547" s="26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</row>
    <row r="548" ht="15.75" customHeight="1">
      <c r="A548" s="26">
        <v>547.0</v>
      </c>
      <c r="B548" s="17">
        <v>45977.0</v>
      </c>
      <c r="C548" s="26" t="s">
        <v>1788</v>
      </c>
      <c r="D548" s="26"/>
      <c r="E548" s="26" t="s">
        <v>1789</v>
      </c>
      <c r="F548" s="26" t="s">
        <v>39</v>
      </c>
      <c r="G548" s="27">
        <v>1100.0</v>
      </c>
      <c r="H548" s="26"/>
      <c r="I548" s="26" t="s">
        <v>1789</v>
      </c>
      <c r="J548" s="26"/>
      <c r="K548" s="26" t="s">
        <v>45</v>
      </c>
      <c r="L548" s="26" t="s">
        <v>47</v>
      </c>
      <c r="M548" s="26" t="s">
        <v>61</v>
      </c>
      <c r="N548" s="26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</row>
    <row r="549" ht="15.75" customHeight="1">
      <c r="A549" s="26">
        <v>548.0</v>
      </c>
      <c r="B549" s="17">
        <v>45977.0</v>
      </c>
      <c r="C549" s="26" t="s">
        <v>1790</v>
      </c>
      <c r="D549" s="26"/>
      <c r="E549" s="26" t="s">
        <v>698</v>
      </c>
      <c r="F549" s="26" t="s">
        <v>39</v>
      </c>
      <c r="G549" s="27">
        <v>11000.0</v>
      </c>
      <c r="H549" s="26"/>
      <c r="I549" s="26" t="s">
        <v>1791</v>
      </c>
      <c r="J549" s="26"/>
      <c r="K549" s="26" t="s">
        <v>45</v>
      </c>
      <c r="L549" s="26" t="s">
        <v>47</v>
      </c>
      <c r="M549" s="26" t="s">
        <v>61</v>
      </c>
      <c r="N549" s="26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</row>
    <row r="550" ht="15.75" customHeight="1">
      <c r="A550" s="26">
        <v>549.0</v>
      </c>
      <c r="B550" s="17">
        <v>45977.0</v>
      </c>
      <c r="C550" s="26" t="s">
        <v>1120</v>
      </c>
      <c r="D550" s="26"/>
      <c r="E550" s="26" t="s">
        <v>703</v>
      </c>
      <c r="F550" s="26" t="s">
        <v>39</v>
      </c>
      <c r="G550" s="27">
        <v>1000.0</v>
      </c>
      <c r="H550" s="26"/>
      <c r="I550" s="26" t="s">
        <v>1792</v>
      </c>
      <c r="J550" s="26"/>
      <c r="K550" s="26" t="s">
        <v>45</v>
      </c>
      <c r="L550" s="26" t="s">
        <v>47</v>
      </c>
      <c r="M550" s="26" t="s">
        <v>61</v>
      </c>
      <c r="N550" s="26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</row>
    <row r="551" ht="15.75" customHeight="1">
      <c r="A551" s="26">
        <v>550.0</v>
      </c>
      <c r="B551" s="17">
        <v>45977.0</v>
      </c>
      <c r="C551" s="26" t="s">
        <v>145</v>
      </c>
      <c r="D551" s="26"/>
      <c r="E551" s="26"/>
      <c r="F551" s="26" t="s">
        <v>39</v>
      </c>
      <c r="G551" s="27">
        <v>101.0</v>
      </c>
      <c r="H551" s="26"/>
      <c r="I551" s="26" t="s">
        <v>1793</v>
      </c>
      <c r="J551" s="26"/>
      <c r="K551" s="26" t="s">
        <v>45</v>
      </c>
      <c r="L551" s="26" t="s">
        <v>47</v>
      </c>
      <c r="M551" s="26" t="s">
        <v>61</v>
      </c>
      <c r="N551" s="26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</row>
    <row r="552" ht="15.75" customHeight="1">
      <c r="A552" s="26">
        <v>551.0</v>
      </c>
      <c r="B552" s="17">
        <v>45977.0</v>
      </c>
      <c r="C552" s="26" t="s">
        <v>158</v>
      </c>
      <c r="D552" s="26"/>
      <c r="E552" s="26" t="s">
        <v>1794</v>
      </c>
      <c r="F552" s="26" t="s">
        <v>39</v>
      </c>
      <c r="G552" s="27">
        <v>5100.0</v>
      </c>
      <c r="H552" s="26"/>
      <c r="I552" s="26" t="s">
        <v>1795</v>
      </c>
      <c r="J552" s="26"/>
      <c r="K552" s="26" t="s">
        <v>45</v>
      </c>
      <c r="L552" s="26" t="s">
        <v>47</v>
      </c>
      <c r="M552" s="26" t="s">
        <v>61</v>
      </c>
      <c r="N552" s="26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</row>
    <row r="553" ht="15.75" customHeight="1">
      <c r="A553" s="26">
        <v>552.0</v>
      </c>
      <c r="B553" s="17">
        <v>45977.0</v>
      </c>
      <c r="C553" s="26" t="s">
        <v>145</v>
      </c>
      <c r="D553" s="26"/>
      <c r="E553" s="26"/>
      <c r="F553" s="26" t="s">
        <v>39</v>
      </c>
      <c r="G553" s="27">
        <v>2100.0</v>
      </c>
      <c r="H553" s="26"/>
      <c r="I553" s="26" t="s">
        <v>1796</v>
      </c>
      <c r="J553" s="26"/>
      <c r="K553" s="26" t="s">
        <v>45</v>
      </c>
      <c r="L553" s="26" t="s">
        <v>47</v>
      </c>
      <c r="M553" s="26" t="s">
        <v>61</v>
      </c>
      <c r="N553" s="26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</row>
    <row r="554" ht="15.75" customHeight="1">
      <c r="A554" s="26">
        <v>553.0</v>
      </c>
      <c r="B554" s="17">
        <v>45977.0</v>
      </c>
      <c r="C554" s="26" t="s">
        <v>145</v>
      </c>
      <c r="D554" s="26"/>
      <c r="E554" s="26" t="s">
        <v>1656</v>
      </c>
      <c r="F554" s="26" t="s">
        <v>39</v>
      </c>
      <c r="G554" s="27">
        <v>1100.0</v>
      </c>
      <c r="H554" s="26"/>
      <c r="I554" s="26" t="s">
        <v>1797</v>
      </c>
      <c r="J554" s="26"/>
      <c r="K554" s="26" t="s">
        <v>45</v>
      </c>
      <c r="L554" s="26" t="s">
        <v>47</v>
      </c>
      <c r="M554" s="26" t="s">
        <v>61</v>
      </c>
      <c r="N554" s="26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</row>
    <row r="555" ht="15.75" customHeight="1">
      <c r="A555" s="26">
        <v>554.0</v>
      </c>
      <c r="B555" s="17">
        <v>45977.0</v>
      </c>
      <c r="C555" s="26" t="s">
        <v>1798</v>
      </c>
      <c r="D555" s="26"/>
      <c r="E555" s="26" t="s">
        <v>1799</v>
      </c>
      <c r="F555" s="26" t="s">
        <v>39</v>
      </c>
      <c r="G555" s="27">
        <v>1506.0</v>
      </c>
      <c r="H555" s="26"/>
      <c r="I555" s="26" t="s">
        <v>1800</v>
      </c>
      <c r="J555" s="26"/>
      <c r="K555" s="26" t="s">
        <v>45</v>
      </c>
      <c r="L555" s="26" t="s">
        <v>47</v>
      </c>
      <c r="M555" s="26" t="s">
        <v>61</v>
      </c>
      <c r="N555" s="26" t="s">
        <v>1801</v>
      </c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</row>
    <row r="556" ht="15.75" customHeight="1">
      <c r="A556" s="26">
        <v>555.0</v>
      </c>
      <c r="B556" s="17">
        <v>45977.0</v>
      </c>
      <c r="C556" s="26" t="s">
        <v>1802</v>
      </c>
      <c r="D556" s="26"/>
      <c r="E556" s="26" t="s">
        <v>1803</v>
      </c>
      <c r="F556" s="26" t="s">
        <v>39</v>
      </c>
      <c r="G556" s="27">
        <v>250.0</v>
      </c>
      <c r="H556" s="26"/>
      <c r="I556" s="26" t="s">
        <v>1804</v>
      </c>
      <c r="J556" s="26"/>
      <c r="K556" s="26" t="s">
        <v>45</v>
      </c>
      <c r="L556" s="26" t="s">
        <v>47</v>
      </c>
      <c r="M556" s="26" t="s">
        <v>61</v>
      </c>
      <c r="N556" s="26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</row>
    <row r="557" ht="15.75" customHeight="1">
      <c r="A557" s="26">
        <v>556.0</v>
      </c>
      <c r="B557" s="17">
        <v>45977.0</v>
      </c>
      <c r="C557" s="26" t="s">
        <v>1805</v>
      </c>
      <c r="D557" s="26"/>
      <c r="E557" s="26"/>
      <c r="F557" s="26" t="s">
        <v>39</v>
      </c>
      <c r="G557" s="27">
        <v>1100.0</v>
      </c>
      <c r="H557" s="26"/>
      <c r="I557" s="26" t="s">
        <v>1806</v>
      </c>
      <c r="J557" s="26"/>
      <c r="K557" s="26" t="s">
        <v>45</v>
      </c>
      <c r="L557" s="26" t="s">
        <v>47</v>
      </c>
      <c r="M557" s="26" t="s">
        <v>61</v>
      </c>
      <c r="N557" s="26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</row>
    <row r="558" ht="15.75" customHeight="1">
      <c r="A558" s="26">
        <v>557.0</v>
      </c>
      <c r="B558" s="17">
        <v>45977.0</v>
      </c>
      <c r="C558" s="26" t="s">
        <v>1807</v>
      </c>
      <c r="D558" s="26"/>
      <c r="E558" s="26"/>
      <c r="F558" s="26" t="s">
        <v>39</v>
      </c>
      <c r="G558" s="27">
        <v>1100.0</v>
      </c>
      <c r="H558" s="26"/>
      <c r="I558" s="26" t="s">
        <v>1808</v>
      </c>
      <c r="J558" s="26"/>
      <c r="K558" s="26" t="s">
        <v>45</v>
      </c>
      <c r="L558" s="26" t="s">
        <v>47</v>
      </c>
      <c r="M558" s="26" t="s">
        <v>61</v>
      </c>
      <c r="N558" s="26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</row>
    <row r="559" ht="15.75" customHeight="1">
      <c r="A559" s="26">
        <v>558.0</v>
      </c>
      <c r="B559" s="17">
        <v>45977.0</v>
      </c>
      <c r="C559" s="26" t="s">
        <v>1809</v>
      </c>
      <c r="D559" s="26"/>
      <c r="E559" s="26"/>
      <c r="F559" s="26" t="s">
        <v>39</v>
      </c>
      <c r="G559" s="27">
        <v>100.0</v>
      </c>
      <c r="H559" s="26"/>
      <c r="I559" s="26" t="s">
        <v>1810</v>
      </c>
      <c r="J559" s="26"/>
      <c r="K559" s="26" t="s">
        <v>45</v>
      </c>
      <c r="L559" s="26" t="s">
        <v>47</v>
      </c>
      <c r="M559" s="26" t="s">
        <v>61</v>
      </c>
      <c r="N559" s="26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</row>
    <row r="560" ht="15.75" customHeight="1">
      <c r="A560" s="26">
        <v>559.0</v>
      </c>
      <c r="B560" s="17">
        <v>45980.0</v>
      </c>
      <c r="C560" s="26" t="s">
        <v>1811</v>
      </c>
      <c r="D560" s="26"/>
      <c r="E560" s="26"/>
      <c r="F560" s="26" t="s">
        <v>39</v>
      </c>
      <c r="G560" s="27">
        <v>1100.0</v>
      </c>
      <c r="H560" s="26"/>
      <c r="I560" s="26" t="s">
        <v>1812</v>
      </c>
      <c r="J560" s="26"/>
      <c r="K560" s="26" t="s">
        <v>45</v>
      </c>
      <c r="L560" s="26" t="s">
        <v>47</v>
      </c>
      <c r="M560" s="26" t="s">
        <v>61</v>
      </c>
      <c r="N560" s="26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</row>
    <row r="561" ht="15.75" customHeight="1">
      <c r="A561" s="26">
        <v>560.0</v>
      </c>
      <c r="B561" s="17">
        <v>45980.0</v>
      </c>
      <c r="C561" s="26" t="s">
        <v>1813</v>
      </c>
      <c r="D561" s="26"/>
      <c r="E561" s="26"/>
      <c r="F561" s="26" t="s">
        <v>39</v>
      </c>
      <c r="G561" s="27">
        <v>2100.0</v>
      </c>
      <c r="H561" s="26"/>
      <c r="I561" s="26" t="s">
        <v>1814</v>
      </c>
      <c r="J561" s="26"/>
      <c r="K561" s="26" t="s">
        <v>45</v>
      </c>
      <c r="L561" s="26" t="s">
        <v>47</v>
      </c>
      <c r="M561" s="26" t="s">
        <v>61</v>
      </c>
      <c r="N561" s="26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</row>
    <row r="562" ht="15.75" customHeight="1">
      <c r="A562" s="26">
        <v>561.0</v>
      </c>
      <c r="B562" s="17">
        <v>45980.0</v>
      </c>
      <c r="C562" s="26" t="s">
        <v>1815</v>
      </c>
      <c r="D562" s="26"/>
      <c r="E562" s="26" t="s">
        <v>1816</v>
      </c>
      <c r="F562" s="26" t="s">
        <v>39</v>
      </c>
      <c r="G562" s="27">
        <v>1000.0</v>
      </c>
      <c r="H562" s="26"/>
      <c r="I562" s="26" t="s">
        <v>1817</v>
      </c>
      <c r="J562" s="26"/>
      <c r="K562" s="26" t="s">
        <v>45</v>
      </c>
      <c r="L562" s="26" t="s">
        <v>47</v>
      </c>
      <c r="M562" s="26" t="s">
        <v>61</v>
      </c>
      <c r="N562" s="26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</row>
    <row r="563" ht="15.75" customHeight="1">
      <c r="A563" s="26">
        <v>562.0</v>
      </c>
      <c r="B563" s="17">
        <v>45981.0</v>
      </c>
      <c r="C563" s="26" t="s">
        <v>1183</v>
      </c>
      <c r="D563" s="26"/>
      <c r="E563" s="26"/>
      <c r="F563" s="26" t="s">
        <v>39</v>
      </c>
      <c r="G563" s="27">
        <v>1100.0</v>
      </c>
      <c r="H563" s="26"/>
      <c r="I563" s="26" t="s">
        <v>1818</v>
      </c>
      <c r="J563" s="26"/>
      <c r="K563" s="26" t="s">
        <v>45</v>
      </c>
      <c r="L563" s="26" t="s">
        <v>47</v>
      </c>
      <c r="M563" s="26" t="s">
        <v>61</v>
      </c>
      <c r="N563" s="26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</row>
    <row r="564" ht="15.75" customHeight="1">
      <c r="A564" s="26">
        <v>563.0</v>
      </c>
      <c r="B564" s="17">
        <v>45981.0</v>
      </c>
      <c r="C564" s="26" t="s">
        <v>1183</v>
      </c>
      <c r="D564" s="26"/>
      <c r="E564" s="26"/>
      <c r="F564" s="26" t="s">
        <v>39</v>
      </c>
      <c r="G564" s="27">
        <v>2100.0</v>
      </c>
      <c r="H564" s="26"/>
      <c r="I564" s="26" t="s">
        <v>1819</v>
      </c>
      <c r="J564" s="26"/>
      <c r="K564" s="26" t="s">
        <v>45</v>
      </c>
      <c r="L564" s="26" t="s">
        <v>47</v>
      </c>
      <c r="M564" s="26" t="s">
        <v>61</v>
      </c>
      <c r="N564" s="26" t="s">
        <v>1820</v>
      </c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</row>
    <row r="565" ht="15.75" customHeight="1">
      <c r="A565" s="26">
        <v>564.0</v>
      </c>
      <c r="B565" s="17">
        <v>45980.0</v>
      </c>
      <c r="C565" s="26" t="s">
        <v>145</v>
      </c>
      <c r="D565" s="26"/>
      <c r="E565" s="26"/>
      <c r="F565" s="26" t="s">
        <v>39</v>
      </c>
      <c r="G565" s="27">
        <v>1100.0</v>
      </c>
      <c r="H565" s="26"/>
      <c r="I565" s="26" t="s">
        <v>1821</v>
      </c>
      <c r="J565" s="26"/>
      <c r="K565" s="26" t="s">
        <v>45</v>
      </c>
      <c r="L565" s="26" t="s">
        <v>47</v>
      </c>
      <c r="M565" s="26" t="s">
        <v>61</v>
      </c>
      <c r="N565" s="26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</row>
    <row r="566" ht="15.75" customHeight="1">
      <c r="A566" s="26">
        <v>565.0</v>
      </c>
      <c r="B566" s="17">
        <v>45995.0</v>
      </c>
      <c r="C566" s="26" t="s">
        <v>1347</v>
      </c>
      <c r="D566" s="26"/>
      <c r="E566" s="26"/>
      <c r="F566" s="26" t="s">
        <v>39</v>
      </c>
      <c r="G566" s="27">
        <v>5000.0</v>
      </c>
      <c r="H566" s="26"/>
      <c r="I566" s="26" t="s">
        <v>1822</v>
      </c>
      <c r="J566" s="26"/>
      <c r="K566" s="26" t="s">
        <v>70</v>
      </c>
      <c r="L566" s="26" t="s">
        <v>47</v>
      </c>
      <c r="M566" s="26" t="s">
        <v>121</v>
      </c>
      <c r="N566" s="26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</row>
    <row r="567" ht="15.75" customHeight="1">
      <c r="A567" s="26">
        <v>566.0</v>
      </c>
      <c r="B567" s="17">
        <v>45995.0</v>
      </c>
      <c r="C567" s="26" t="s">
        <v>1823</v>
      </c>
      <c r="D567" s="26"/>
      <c r="E567" s="26"/>
      <c r="F567" s="26" t="s">
        <v>39</v>
      </c>
      <c r="G567" s="27">
        <v>500.0</v>
      </c>
      <c r="H567" s="26"/>
      <c r="I567" s="26" t="s">
        <v>1824</v>
      </c>
      <c r="J567" s="26"/>
      <c r="K567" s="26" t="s">
        <v>70</v>
      </c>
      <c r="L567" s="26" t="s">
        <v>47</v>
      </c>
      <c r="M567" s="26" t="s">
        <v>121</v>
      </c>
      <c r="N567" s="26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</row>
    <row r="568" ht="15.75" customHeight="1">
      <c r="A568" s="26">
        <v>567.0</v>
      </c>
      <c r="B568" s="17">
        <v>45998.0</v>
      </c>
      <c r="C568" s="26" t="s">
        <v>1825</v>
      </c>
      <c r="D568" s="26"/>
      <c r="E568" s="26" t="s">
        <v>1826</v>
      </c>
      <c r="F568" s="26" t="s">
        <v>39</v>
      </c>
      <c r="G568" s="27">
        <v>5100.0</v>
      </c>
      <c r="H568" s="26"/>
      <c r="I568" s="26" t="s">
        <v>1827</v>
      </c>
      <c r="J568" s="26"/>
      <c r="K568" s="26" t="s">
        <v>77</v>
      </c>
      <c r="L568" s="26" t="s">
        <v>47</v>
      </c>
      <c r="M568" s="26" t="s">
        <v>77</v>
      </c>
      <c r="N568" s="26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</row>
    <row r="569" ht="15.75" customHeight="1">
      <c r="A569" s="26">
        <v>568.0</v>
      </c>
      <c r="B569" s="17">
        <v>45998.0</v>
      </c>
      <c r="C569" s="26" t="s">
        <v>1828</v>
      </c>
      <c r="D569" s="26"/>
      <c r="E569" s="26"/>
      <c r="F569" s="26" t="s">
        <v>39</v>
      </c>
      <c r="G569" s="27">
        <v>5000.0</v>
      </c>
      <c r="H569" s="26"/>
      <c r="I569" s="26" t="s">
        <v>1829</v>
      </c>
      <c r="J569" s="26"/>
      <c r="K569" s="26" t="s">
        <v>45</v>
      </c>
      <c r="L569" s="26" t="s">
        <v>47</v>
      </c>
      <c r="M569" s="26" t="s">
        <v>61</v>
      </c>
      <c r="N569" s="26" t="s">
        <v>1830</v>
      </c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</row>
    <row r="570" ht="15.75" customHeight="1">
      <c r="A570" s="26">
        <v>569.0</v>
      </c>
      <c r="B570" s="17">
        <v>46000.0</v>
      </c>
      <c r="C570" s="26" t="s">
        <v>1831</v>
      </c>
      <c r="D570" s="26"/>
      <c r="E570" s="26"/>
      <c r="F570" s="26" t="s">
        <v>39</v>
      </c>
      <c r="G570" s="27">
        <v>11000.0</v>
      </c>
      <c r="H570" s="26"/>
      <c r="I570" s="26" t="s">
        <v>1832</v>
      </c>
      <c r="J570" s="26"/>
      <c r="K570" s="26" t="s">
        <v>45</v>
      </c>
      <c r="L570" s="26" t="s">
        <v>47</v>
      </c>
      <c r="M570" s="26" t="s">
        <v>61</v>
      </c>
      <c r="N570" s="26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</row>
    <row r="571" ht="15.75" customHeight="1">
      <c r="A571" s="26">
        <v>570.0</v>
      </c>
      <c r="B571" s="17">
        <v>46002.0</v>
      </c>
      <c r="C571" s="26" t="s">
        <v>866</v>
      </c>
      <c r="D571" s="26"/>
      <c r="E571" s="26"/>
      <c r="F571" s="26" t="s">
        <v>39</v>
      </c>
      <c r="G571" s="27">
        <v>18832.0</v>
      </c>
      <c r="H571" s="26"/>
      <c r="I571" s="26" t="s">
        <v>1833</v>
      </c>
      <c r="J571" s="26"/>
      <c r="K571" s="26" t="s">
        <v>866</v>
      </c>
      <c r="L571" s="26" t="s">
        <v>47</v>
      </c>
      <c r="M571" s="26" t="s">
        <v>61</v>
      </c>
      <c r="N571" s="26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</row>
    <row r="572" ht="15.75" customHeight="1">
      <c r="A572" s="26">
        <v>571.0</v>
      </c>
      <c r="B572" s="17">
        <v>46007.0</v>
      </c>
      <c r="C572" s="26" t="s">
        <v>1834</v>
      </c>
      <c r="D572" s="26"/>
      <c r="E572" s="26" t="s">
        <v>844</v>
      </c>
      <c r="F572" s="26" t="s">
        <v>39</v>
      </c>
      <c r="G572" s="27">
        <v>2100.0</v>
      </c>
      <c r="H572" s="26"/>
      <c r="I572" s="26" t="s">
        <v>1835</v>
      </c>
      <c r="J572" s="26"/>
      <c r="K572" s="26" t="s">
        <v>45</v>
      </c>
      <c r="L572" s="26" t="s">
        <v>47</v>
      </c>
      <c r="M572" s="26" t="s">
        <v>61</v>
      </c>
      <c r="N572" s="26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</row>
    <row r="573" ht="15.75" customHeight="1">
      <c r="A573" s="26">
        <v>572.0</v>
      </c>
      <c r="B573" s="17">
        <v>46007.0</v>
      </c>
      <c r="C573" s="26" t="s">
        <v>1836</v>
      </c>
      <c r="D573" s="26"/>
      <c r="E573" s="26" t="s">
        <v>1837</v>
      </c>
      <c r="F573" s="26" t="s">
        <v>39</v>
      </c>
      <c r="G573" s="27">
        <v>1100.0</v>
      </c>
      <c r="H573" s="26"/>
      <c r="I573" s="26" t="s">
        <v>1838</v>
      </c>
      <c r="J573" s="26"/>
      <c r="K573" s="26" t="s">
        <v>45</v>
      </c>
      <c r="L573" s="26" t="s">
        <v>47</v>
      </c>
      <c r="M573" s="26" t="s">
        <v>61</v>
      </c>
      <c r="N573" s="26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</row>
    <row r="574" ht="15.75" customHeight="1">
      <c r="A574" s="26">
        <v>573.0</v>
      </c>
      <c r="B574" s="17">
        <v>46007.0</v>
      </c>
      <c r="C574" s="26" t="s">
        <v>1839</v>
      </c>
      <c r="D574" s="26"/>
      <c r="E574" s="26" t="s">
        <v>1840</v>
      </c>
      <c r="F574" s="26" t="s">
        <v>39</v>
      </c>
      <c r="G574" s="27">
        <v>1100.0</v>
      </c>
      <c r="H574" s="26"/>
      <c r="I574" s="26" t="s">
        <v>1841</v>
      </c>
      <c r="J574" s="26"/>
      <c r="K574" s="26" t="s">
        <v>45</v>
      </c>
      <c r="L574" s="26" t="s">
        <v>47</v>
      </c>
      <c r="M574" s="26" t="s">
        <v>61</v>
      </c>
      <c r="N574" s="26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</row>
    <row r="575" ht="15.75" customHeight="1">
      <c r="A575" s="26">
        <v>574.0</v>
      </c>
      <c r="B575" s="17">
        <v>46022.0</v>
      </c>
      <c r="C575" s="26" t="s">
        <v>1842</v>
      </c>
      <c r="D575" s="26"/>
      <c r="E575" s="26" t="s">
        <v>1843</v>
      </c>
      <c r="F575" s="26" t="s">
        <v>39</v>
      </c>
      <c r="G575" s="27">
        <v>3000.0</v>
      </c>
      <c r="H575" s="26"/>
      <c r="I575" s="26" t="s">
        <v>1844</v>
      </c>
      <c r="J575" s="26"/>
      <c r="K575" s="26" t="s">
        <v>45</v>
      </c>
      <c r="L575" s="26" t="s">
        <v>47</v>
      </c>
      <c r="M575" s="26" t="s">
        <v>61</v>
      </c>
      <c r="N575" s="26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</row>
    <row r="576" ht="15.75" customHeight="1">
      <c r="A576" s="26">
        <v>575.0</v>
      </c>
      <c r="B576" s="17">
        <v>46042.0</v>
      </c>
      <c r="C576" s="26" t="s">
        <v>866</v>
      </c>
      <c r="D576" s="26"/>
      <c r="E576" s="26"/>
      <c r="F576" s="26" t="s">
        <v>39</v>
      </c>
      <c r="G576" s="27">
        <v>26504.0</v>
      </c>
      <c r="H576" s="26"/>
      <c r="I576" s="26" t="s">
        <v>1845</v>
      </c>
      <c r="J576" s="26"/>
      <c r="K576" s="26" t="s">
        <v>866</v>
      </c>
      <c r="L576" s="26" t="s">
        <v>47</v>
      </c>
      <c r="M576" s="26" t="s">
        <v>61</v>
      </c>
      <c r="N576" s="26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</row>
    <row r="577" ht="15.75" customHeight="1">
      <c r="A577" s="26">
        <v>576.0</v>
      </c>
      <c r="B577" s="17">
        <v>46060.0</v>
      </c>
      <c r="C577" s="26" t="s">
        <v>1846</v>
      </c>
      <c r="D577" s="26"/>
      <c r="E577" s="26" t="s">
        <v>369</v>
      </c>
      <c r="F577" s="26" t="s">
        <v>39</v>
      </c>
      <c r="G577" s="27">
        <v>5100.0</v>
      </c>
      <c r="H577" s="26"/>
      <c r="I577" s="26" t="s">
        <v>1847</v>
      </c>
      <c r="J577" s="26"/>
      <c r="K577" s="26" t="s">
        <v>45</v>
      </c>
      <c r="L577" s="26" t="s">
        <v>47</v>
      </c>
      <c r="M577" s="26" t="s">
        <v>61</v>
      </c>
      <c r="N577" s="26" t="s">
        <v>1848</v>
      </c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</row>
    <row r="578" ht="15.75" customHeight="1">
      <c r="A578" s="26">
        <v>577.0</v>
      </c>
      <c r="B578" s="17">
        <v>46064.0</v>
      </c>
      <c r="C578" s="26" t="s">
        <v>1849</v>
      </c>
      <c r="D578" s="26"/>
      <c r="E578" s="26" t="s">
        <v>1524</v>
      </c>
      <c r="F578" s="26" t="s">
        <v>39</v>
      </c>
      <c r="G578" s="27">
        <v>2100.0</v>
      </c>
      <c r="H578" s="26"/>
      <c r="I578" s="26" t="s">
        <v>1850</v>
      </c>
      <c r="J578" s="26"/>
      <c r="K578" s="26" t="s">
        <v>45</v>
      </c>
      <c r="L578" s="26" t="s">
        <v>47</v>
      </c>
      <c r="M578" s="26" t="s">
        <v>61</v>
      </c>
      <c r="N578" s="26" t="s">
        <v>1848</v>
      </c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</row>
    <row r="579" ht="15.75" customHeight="1">
      <c r="A579" s="26">
        <v>578.0</v>
      </c>
      <c r="B579" s="17">
        <v>46066.0</v>
      </c>
      <c r="C579" s="26" t="s">
        <v>1815</v>
      </c>
      <c r="D579" s="26"/>
      <c r="E579" s="26" t="s">
        <v>1816</v>
      </c>
      <c r="F579" s="26" t="s">
        <v>39</v>
      </c>
      <c r="G579" s="27">
        <v>200.0</v>
      </c>
      <c r="H579" s="26"/>
      <c r="I579" s="26" t="s">
        <v>1851</v>
      </c>
      <c r="J579" s="26"/>
      <c r="K579" s="26" t="s">
        <v>45</v>
      </c>
      <c r="L579" s="26" t="s">
        <v>47</v>
      </c>
      <c r="M579" s="26" t="s">
        <v>61</v>
      </c>
      <c r="N579" s="26" t="s">
        <v>1848</v>
      </c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</row>
    <row r="580" ht="15.75" customHeight="1">
      <c r="A580" s="26">
        <v>579.0</v>
      </c>
      <c r="B580" s="17">
        <v>46066.0</v>
      </c>
      <c r="C580" s="26" t="s">
        <v>1852</v>
      </c>
      <c r="D580" s="26"/>
      <c r="E580" s="26" t="s">
        <v>200</v>
      </c>
      <c r="F580" s="26" t="s">
        <v>39</v>
      </c>
      <c r="G580" s="27">
        <v>500.0</v>
      </c>
      <c r="H580" s="26"/>
      <c r="I580" s="26" t="s">
        <v>1853</v>
      </c>
      <c r="J580" s="26"/>
      <c r="K580" s="26" t="s">
        <v>45</v>
      </c>
      <c r="L580" s="26" t="s">
        <v>47</v>
      </c>
      <c r="M580" s="26" t="s">
        <v>61</v>
      </c>
      <c r="N580" s="26" t="s">
        <v>1848</v>
      </c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</row>
    <row r="581" ht="15.75" customHeight="1">
      <c r="A581" s="26">
        <v>580.0</v>
      </c>
      <c r="B581" s="17">
        <v>46067.0</v>
      </c>
      <c r="C581" s="26" t="s">
        <v>1854</v>
      </c>
      <c r="D581" s="26"/>
      <c r="E581" s="26" t="s">
        <v>62</v>
      </c>
      <c r="F581" s="26" t="s">
        <v>39</v>
      </c>
      <c r="G581" s="27">
        <v>1100.0</v>
      </c>
      <c r="H581" s="26"/>
      <c r="I581" s="26" t="s">
        <v>1855</v>
      </c>
      <c r="J581" s="26"/>
      <c r="K581" s="26" t="s">
        <v>45</v>
      </c>
      <c r="L581" s="26" t="s">
        <v>47</v>
      </c>
      <c r="M581" s="26" t="s">
        <v>61</v>
      </c>
      <c r="N581" s="26" t="s">
        <v>1848</v>
      </c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</row>
    <row r="582" ht="15.75" customHeight="1">
      <c r="A582" s="26">
        <v>581.0</v>
      </c>
      <c r="B582" s="17">
        <v>46068.0</v>
      </c>
      <c r="C582" s="26" t="s">
        <v>1856</v>
      </c>
      <c r="D582" s="26"/>
      <c r="E582" s="26" t="s">
        <v>1290</v>
      </c>
      <c r="F582" s="26" t="s">
        <v>39</v>
      </c>
      <c r="G582" s="27">
        <v>500.0</v>
      </c>
      <c r="H582" s="26"/>
      <c r="I582" s="26" t="s">
        <v>1857</v>
      </c>
      <c r="J582" s="26"/>
      <c r="K582" s="26" t="s">
        <v>45</v>
      </c>
      <c r="L582" s="26" t="s">
        <v>47</v>
      </c>
      <c r="M582" s="26" t="s">
        <v>61</v>
      </c>
      <c r="N582" s="26" t="s">
        <v>1848</v>
      </c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</row>
    <row r="583" ht="15.75" customHeight="1">
      <c r="A583" s="26">
        <v>582.0</v>
      </c>
      <c r="B583" s="17">
        <v>46068.0</v>
      </c>
      <c r="C583" s="26" t="s">
        <v>1858</v>
      </c>
      <c r="D583" s="26"/>
      <c r="E583" s="26" t="s">
        <v>503</v>
      </c>
      <c r="F583" s="26" t="s">
        <v>39</v>
      </c>
      <c r="G583" s="27">
        <v>1100.0</v>
      </c>
      <c r="H583" s="26"/>
      <c r="I583" s="26" t="s">
        <v>1859</v>
      </c>
      <c r="J583" s="26"/>
      <c r="K583" s="26" t="s">
        <v>45</v>
      </c>
      <c r="L583" s="26" t="s">
        <v>47</v>
      </c>
      <c r="M583" s="26" t="s">
        <v>61</v>
      </c>
      <c r="N583" s="26" t="s">
        <v>1848</v>
      </c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</row>
    <row r="584" ht="15.75" customHeight="1">
      <c r="A584" s="26">
        <v>583.0</v>
      </c>
      <c r="B584" s="17">
        <v>46068.0</v>
      </c>
      <c r="C584" s="26" t="s">
        <v>1860</v>
      </c>
      <c r="D584" s="26"/>
      <c r="E584" s="26" t="s">
        <v>1861</v>
      </c>
      <c r="F584" s="26" t="s">
        <v>39</v>
      </c>
      <c r="G584" s="27">
        <v>1100.0</v>
      </c>
      <c r="H584" s="26"/>
      <c r="I584" s="26" t="s">
        <v>1862</v>
      </c>
      <c r="J584" s="26"/>
      <c r="K584" s="26" t="s">
        <v>45</v>
      </c>
      <c r="L584" s="26" t="s">
        <v>47</v>
      </c>
      <c r="M584" s="26" t="s">
        <v>61</v>
      </c>
      <c r="N584" s="26" t="s">
        <v>1848</v>
      </c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</row>
    <row r="585" ht="15.75" customHeight="1">
      <c r="A585" s="26">
        <v>584.0</v>
      </c>
      <c r="B585" s="17">
        <v>46068.0</v>
      </c>
      <c r="C585" s="26" t="s">
        <v>1057</v>
      </c>
      <c r="D585" s="26"/>
      <c r="E585" s="26" t="s">
        <v>821</v>
      </c>
      <c r="F585" s="26" t="s">
        <v>39</v>
      </c>
      <c r="G585" s="27">
        <v>250.0</v>
      </c>
      <c r="H585" s="26"/>
      <c r="I585" s="26" t="s">
        <v>1863</v>
      </c>
      <c r="J585" s="26"/>
      <c r="K585" s="26" t="s">
        <v>45</v>
      </c>
      <c r="L585" s="26" t="s">
        <v>47</v>
      </c>
      <c r="M585" s="26" t="s">
        <v>61</v>
      </c>
      <c r="N585" s="26" t="s">
        <v>1848</v>
      </c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</row>
    <row r="586" ht="15.75" customHeight="1">
      <c r="A586" s="26">
        <v>585.0</v>
      </c>
      <c r="B586" s="17">
        <v>46068.0</v>
      </c>
      <c r="C586" s="26" t="s">
        <v>145</v>
      </c>
      <c r="D586" s="26"/>
      <c r="E586" s="26"/>
      <c r="F586" s="26" t="s">
        <v>39</v>
      </c>
      <c r="G586" s="27">
        <v>500.0</v>
      </c>
      <c r="H586" s="26"/>
      <c r="I586" s="26" t="s">
        <v>1864</v>
      </c>
      <c r="J586" s="26"/>
      <c r="K586" s="26" t="s">
        <v>45</v>
      </c>
      <c r="L586" s="26" t="s">
        <v>47</v>
      </c>
      <c r="M586" s="26" t="s">
        <v>61</v>
      </c>
      <c r="N586" s="26" t="s">
        <v>1848</v>
      </c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</row>
    <row r="587" ht="15.75" customHeight="1">
      <c r="A587" s="26">
        <v>586.0</v>
      </c>
      <c r="B587" s="17">
        <v>46068.0</v>
      </c>
      <c r="C587" s="26" t="s">
        <v>1865</v>
      </c>
      <c r="D587" s="26"/>
      <c r="E587" s="26" t="s">
        <v>200</v>
      </c>
      <c r="F587" s="26" t="s">
        <v>39</v>
      </c>
      <c r="G587" s="27">
        <v>100.0</v>
      </c>
      <c r="H587" s="26"/>
      <c r="I587" s="26" t="s">
        <v>1866</v>
      </c>
      <c r="J587" s="26"/>
      <c r="K587" s="26" t="s">
        <v>45</v>
      </c>
      <c r="L587" s="26" t="s">
        <v>47</v>
      </c>
      <c r="M587" s="26" t="s">
        <v>61</v>
      </c>
      <c r="N587" s="26" t="s">
        <v>1848</v>
      </c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</row>
    <row r="588" ht="15.75" customHeight="1">
      <c r="A588" s="26">
        <v>587.0</v>
      </c>
      <c r="B588" s="17">
        <v>46068.0</v>
      </c>
      <c r="C588" s="26" t="s">
        <v>1867</v>
      </c>
      <c r="D588" s="26"/>
      <c r="E588" s="26" t="s">
        <v>1868</v>
      </c>
      <c r="F588" s="26" t="s">
        <v>39</v>
      </c>
      <c r="G588" s="27">
        <v>501.0</v>
      </c>
      <c r="H588" s="26"/>
      <c r="I588" s="26" t="s">
        <v>1869</v>
      </c>
      <c r="J588" s="26"/>
      <c r="K588" s="26" t="s">
        <v>45</v>
      </c>
      <c r="L588" s="26" t="s">
        <v>47</v>
      </c>
      <c r="M588" s="26" t="s">
        <v>61</v>
      </c>
      <c r="N588" s="26" t="s">
        <v>1848</v>
      </c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</row>
    <row r="589" ht="15.75" customHeight="1">
      <c r="A589" s="26">
        <v>588.0</v>
      </c>
      <c r="B589" s="17">
        <v>46068.0</v>
      </c>
      <c r="C589" s="26" t="s">
        <v>1870</v>
      </c>
      <c r="D589" s="26"/>
      <c r="E589" s="26" t="s">
        <v>1667</v>
      </c>
      <c r="F589" s="26" t="s">
        <v>39</v>
      </c>
      <c r="G589" s="27">
        <v>1500.0</v>
      </c>
      <c r="H589" s="26"/>
      <c r="I589" s="26" t="s">
        <v>1871</v>
      </c>
      <c r="J589" s="26"/>
      <c r="K589" s="26" t="s">
        <v>45</v>
      </c>
      <c r="L589" s="26" t="s">
        <v>47</v>
      </c>
      <c r="M589" s="26" t="s">
        <v>61</v>
      </c>
      <c r="N589" s="26" t="s">
        <v>1848</v>
      </c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</row>
    <row r="590" ht="15.75" customHeight="1">
      <c r="A590" s="26">
        <v>589.0</v>
      </c>
      <c r="B590" s="17">
        <v>46068.0</v>
      </c>
      <c r="C590" s="26" t="s">
        <v>1872</v>
      </c>
      <c r="D590" s="26"/>
      <c r="E590" s="26"/>
      <c r="F590" s="26" t="s">
        <v>39</v>
      </c>
      <c r="G590" s="27">
        <v>1000.0</v>
      </c>
      <c r="H590" s="26"/>
      <c r="I590" s="26" t="s">
        <v>1873</v>
      </c>
      <c r="J590" s="26"/>
      <c r="K590" s="26" t="s">
        <v>45</v>
      </c>
      <c r="L590" s="26" t="s">
        <v>47</v>
      </c>
      <c r="M590" s="26" t="s">
        <v>61</v>
      </c>
      <c r="N590" s="26" t="s">
        <v>1848</v>
      </c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</row>
    <row r="591" ht="15.75" customHeight="1">
      <c r="A591" s="26">
        <v>590.0</v>
      </c>
      <c r="B591" s="17">
        <v>46068.0</v>
      </c>
      <c r="C591" s="26" t="s">
        <v>1874</v>
      </c>
      <c r="D591" s="26"/>
      <c r="E591" s="26"/>
      <c r="F591" s="26" t="s">
        <v>39</v>
      </c>
      <c r="G591" s="27">
        <v>1100.0</v>
      </c>
      <c r="H591" s="26"/>
      <c r="I591" s="26" t="s">
        <v>1875</v>
      </c>
      <c r="J591" s="26"/>
      <c r="K591" s="26" t="s">
        <v>45</v>
      </c>
      <c r="L591" s="26" t="s">
        <v>47</v>
      </c>
      <c r="M591" s="26" t="s">
        <v>61</v>
      </c>
      <c r="N591" s="26" t="s">
        <v>1848</v>
      </c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</row>
    <row r="592" ht="15.75" customHeight="1">
      <c r="A592" s="26">
        <v>591.0</v>
      </c>
      <c r="B592" s="17">
        <v>46068.0</v>
      </c>
      <c r="C592" s="26" t="s">
        <v>1876</v>
      </c>
      <c r="D592" s="26"/>
      <c r="E592" s="26" t="s">
        <v>1877</v>
      </c>
      <c r="F592" s="26" t="s">
        <v>39</v>
      </c>
      <c r="G592" s="27">
        <v>1000.0</v>
      </c>
      <c r="H592" s="26"/>
      <c r="I592" s="26" t="s">
        <v>1878</v>
      </c>
      <c r="J592" s="26"/>
      <c r="K592" s="26" t="s">
        <v>45</v>
      </c>
      <c r="L592" s="26" t="s">
        <v>47</v>
      </c>
      <c r="M592" s="26" t="s">
        <v>61</v>
      </c>
      <c r="N592" s="26" t="s">
        <v>1848</v>
      </c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</row>
    <row r="593" ht="15.75" customHeight="1">
      <c r="A593" s="26">
        <v>592.0</v>
      </c>
      <c r="B593" s="17">
        <v>46068.0</v>
      </c>
      <c r="C593" s="26" t="s">
        <v>145</v>
      </c>
      <c r="D593" s="26"/>
      <c r="E593" s="26"/>
      <c r="F593" s="26" t="s">
        <v>39</v>
      </c>
      <c r="G593" s="27">
        <v>1100.0</v>
      </c>
      <c r="H593" s="26"/>
      <c r="I593" s="26" t="s">
        <v>1879</v>
      </c>
      <c r="J593" s="26"/>
      <c r="K593" s="26" t="s">
        <v>45</v>
      </c>
      <c r="L593" s="26" t="s">
        <v>47</v>
      </c>
      <c r="M593" s="26" t="s">
        <v>61</v>
      </c>
      <c r="N593" s="26" t="s">
        <v>1848</v>
      </c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</row>
    <row r="594" ht="15.75" customHeight="1">
      <c r="A594" s="26">
        <v>593.0</v>
      </c>
      <c r="B594" s="17">
        <v>46068.0</v>
      </c>
      <c r="C594" s="26" t="s">
        <v>129</v>
      </c>
      <c r="D594" s="26"/>
      <c r="E594" s="26"/>
      <c r="F594" s="26" t="s">
        <v>39</v>
      </c>
      <c r="G594" s="27">
        <v>500.0</v>
      </c>
      <c r="H594" s="26"/>
      <c r="I594" s="26" t="s">
        <v>1880</v>
      </c>
      <c r="J594" s="26"/>
      <c r="K594" s="26" t="s">
        <v>45</v>
      </c>
      <c r="L594" s="26" t="s">
        <v>47</v>
      </c>
      <c r="M594" s="26" t="s">
        <v>61</v>
      </c>
      <c r="N594" s="26" t="s">
        <v>1848</v>
      </c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</row>
    <row r="595" ht="15.75" customHeight="1">
      <c r="A595" s="26">
        <v>594.0</v>
      </c>
      <c r="B595" s="17">
        <v>46068.0</v>
      </c>
      <c r="C595" s="26" t="s">
        <v>1881</v>
      </c>
      <c r="D595" s="26"/>
      <c r="E595" s="26"/>
      <c r="F595" s="26" t="s">
        <v>39</v>
      </c>
      <c r="G595" s="27">
        <v>500.0</v>
      </c>
      <c r="H595" s="26"/>
      <c r="I595" s="26" t="s">
        <v>1882</v>
      </c>
      <c r="J595" s="26"/>
      <c r="K595" s="26" t="s">
        <v>45</v>
      </c>
      <c r="L595" s="26" t="s">
        <v>47</v>
      </c>
      <c r="M595" s="26" t="s">
        <v>61</v>
      </c>
      <c r="N595" s="26" t="s">
        <v>1848</v>
      </c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</row>
    <row r="596" ht="15.75" customHeight="1">
      <c r="A596" s="26">
        <v>595.0</v>
      </c>
      <c r="B596" s="17">
        <v>46068.0</v>
      </c>
      <c r="C596" s="26" t="s">
        <v>1883</v>
      </c>
      <c r="D596" s="26"/>
      <c r="E596" s="26"/>
      <c r="F596" s="26" t="s">
        <v>39</v>
      </c>
      <c r="G596" s="27">
        <v>500.0</v>
      </c>
      <c r="H596" s="26"/>
      <c r="I596" s="26" t="s">
        <v>1884</v>
      </c>
      <c r="J596" s="26"/>
      <c r="K596" s="26" t="s">
        <v>45</v>
      </c>
      <c r="L596" s="26" t="s">
        <v>47</v>
      </c>
      <c r="M596" s="26" t="s">
        <v>61</v>
      </c>
      <c r="N596" s="26" t="s">
        <v>1848</v>
      </c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</row>
    <row r="597" ht="15.75" customHeight="1">
      <c r="A597" s="26">
        <v>596.0</v>
      </c>
      <c r="B597" s="17">
        <v>46068.0</v>
      </c>
      <c r="C597" s="26" t="s">
        <v>145</v>
      </c>
      <c r="D597" s="26"/>
      <c r="E597" s="26"/>
      <c r="F597" s="26" t="s">
        <v>39</v>
      </c>
      <c r="G597" s="27">
        <v>250.0</v>
      </c>
      <c r="H597" s="26"/>
      <c r="I597" s="26" t="s">
        <v>1885</v>
      </c>
      <c r="J597" s="26"/>
      <c r="K597" s="26" t="s">
        <v>45</v>
      </c>
      <c r="L597" s="26" t="s">
        <v>47</v>
      </c>
      <c r="M597" s="26" t="s">
        <v>61</v>
      </c>
      <c r="N597" s="26" t="s">
        <v>1848</v>
      </c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</row>
    <row r="598" ht="15.75" customHeight="1">
      <c r="A598" s="26">
        <v>597.0</v>
      </c>
      <c r="B598" s="17">
        <v>46068.0</v>
      </c>
      <c r="C598" s="26" t="s">
        <v>1886</v>
      </c>
      <c r="D598" s="26"/>
      <c r="E598" s="26"/>
      <c r="F598" s="26" t="s">
        <v>39</v>
      </c>
      <c r="G598" s="27">
        <v>100.0</v>
      </c>
      <c r="H598" s="26"/>
      <c r="I598" s="26" t="s">
        <v>1887</v>
      </c>
      <c r="J598" s="26"/>
      <c r="K598" s="26" t="s">
        <v>45</v>
      </c>
      <c r="L598" s="26" t="s">
        <v>47</v>
      </c>
      <c r="M598" s="26" t="s">
        <v>61</v>
      </c>
      <c r="N598" s="26" t="s">
        <v>1848</v>
      </c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</row>
    <row r="599" ht="15.75" customHeight="1">
      <c r="A599" s="26">
        <v>598.0</v>
      </c>
      <c r="B599" s="17">
        <v>46068.0</v>
      </c>
      <c r="C599" s="26" t="s">
        <v>145</v>
      </c>
      <c r="D599" s="26"/>
      <c r="E599" s="26"/>
      <c r="F599" s="26" t="s">
        <v>39</v>
      </c>
      <c r="G599" s="27">
        <v>501.0</v>
      </c>
      <c r="H599" s="26"/>
      <c r="I599" s="26" t="s">
        <v>1888</v>
      </c>
      <c r="J599" s="26"/>
      <c r="K599" s="26" t="s">
        <v>45</v>
      </c>
      <c r="L599" s="26" t="s">
        <v>47</v>
      </c>
      <c r="M599" s="26" t="s">
        <v>61</v>
      </c>
      <c r="N599" s="26" t="s">
        <v>1848</v>
      </c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</row>
    <row r="600" ht="15.75" customHeight="1">
      <c r="A600" s="26">
        <v>599.0</v>
      </c>
      <c r="B600" s="17">
        <v>46068.0</v>
      </c>
      <c r="C600" s="26" t="s">
        <v>1889</v>
      </c>
      <c r="D600" s="26"/>
      <c r="E600" s="26"/>
      <c r="F600" s="26" t="s">
        <v>39</v>
      </c>
      <c r="G600" s="27">
        <v>100.0</v>
      </c>
      <c r="H600" s="26"/>
      <c r="I600" s="26" t="s">
        <v>1890</v>
      </c>
      <c r="J600" s="26"/>
      <c r="K600" s="26" t="s">
        <v>45</v>
      </c>
      <c r="L600" s="26" t="s">
        <v>47</v>
      </c>
      <c r="M600" s="26" t="s">
        <v>61</v>
      </c>
      <c r="N600" s="26" t="s">
        <v>1848</v>
      </c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</row>
    <row r="601" ht="15.75" customHeight="1">
      <c r="A601" s="26">
        <v>600.0</v>
      </c>
      <c r="B601" s="17">
        <v>46068.0</v>
      </c>
      <c r="C601" s="26" t="s">
        <v>1886</v>
      </c>
      <c r="D601" s="26"/>
      <c r="E601" s="26"/>
      <c r="F601" s="26" t="s">
        <v>39</v>
      </c>
      <c r="G601" s="27">
        <v>100.0</v>
      </c>
      <c r="H601" s="26"/>
      <c r="I601" s="26" t="s">
        <v>1891</v>
      </c>
      <c r="J601" s="26"/>
      <c r="K601" s="26" t="s">
        <v>45</v>
      </c>
      <c r="L601" s="26" t="s">
        <v>47</v>
      </c>
      <c r="M601" s="26" t="s">
        <v>61</v>
      </c>
      <c r="N601" s="26" t="s">
        <v>1848</v>
      </c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</row>
    <row r="602" ht="15.75" customHeight="1">
      <c r="A602" s="26">
        <v>601.0</v>
      </c>
      <c r="B602" s="17">
        <v>46068.0</v>
      </c>
      <c r="C602" s="26" t="s">
        <v>1597</v>
      </c>
      <c r="D602" s="26"/>
      <c r="E602" s="26"/>
      <c r="F602" s="26" t="s">
        <v>39</v>
      </c>
      <c r="G602" s="27">
        <v>500.0</v>
      </c>
      <c r="H602" s="26"/>
      <c r="I602" s="26" t="s">
        <v>1892</v>
      </c>
      <c r="J602" s="26"/>
      <c r="K602" s="26" t="s">
        <v>45</v>
      </c>
      <c r="L602" s="26" t="s">
        <v>47</v>
      </c>
      <c r="M602" s="26" t="s">
        <v>61</v>
      </c>
      <c r="N602" s="26" t="s">
        <v>1848</v>
      </c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</row>
    <row r="603" ht="15.75" customHeight="1">
      <c r="A603" s="26">
        <v>602.0</v>
      </c>
      <c r="B603" s="17">
        <v>46068.0</v>
      </c>
      <c r="C603" s="26" t="s">
        <v>1893</v>
      </c>
      <c r="D603" s="26"/>
      <c r="E603" s="26"/>
      <c r="F603" s="26" t="s">
        <v>39</v>
      </c>
      <c r="G603" s="27">
        <v>100.0</v>
      </c>
      <c r="H603" s="26"/>
      <c r="I603" s="26" t="s">
        <v>1894</v>
      </c>
      <c r="J603" s="26"/>
      <c r="K603" s="26" t="s">
        <v>45</v>
      </c>
      <c r="L603" s="26" t="s">
        <v>47</v>
      </c>
      <c r="M603" s="26" t="s">
        <v>61</v>
      </c>
      <c r="N603" s="26" t="s">
        <v>1848</v>
      </c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</row>
    <row r="604" ht="15.75" customHeight="1">
      <c r="A604" s="26">
        <v>603.0</v>
      </c>
      <c r="B604" s="17">
        <v>46068.0</v>
      </c>
      <c r="C604" s="26" t="s">
        <v>1895</v>
      </c>
      <c r="D604" s="26"/>
      <c r="E604" s="26"/>
      <c r="F604" s="26" t="s">
        <v>39</v>
      </c>
      <c r="G604" s="27">
        <v>200.0</v>
      </c>
      <c r="H604" s="26"/>
      <c r="I604" s="26" t="s">
        <v>1896</v>
      </c>
      <c r="J604" s="26"/>
      <c r="K604" s="26" t="s">
        <v>45</v>
      </c>
      <c r="L604" s="26" t="s">
        <v>47</v>
      </c>
      <c r="M604" s="26" t="s">
        <v>61</v>
      </c>
      <c r="N604" s="26" t="s">
        <v>1848</v>
      </c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</row>
    <row r="605" ht="15.75" customHeight="1">
      <c r="A605" s="26">
        <v>604.0</v>
      </c>
      <c r="B605" s="17">
        <v>46068.0</v>
      </c>
      <c r="C605" s="26" t="s">
        <v>1897</v>
      </c>
      <c r="D605" s="26"/>
      <c r="E605" s="26"/>
      <c r="F605" s="26" t="s">
        <v>39</v>
      </c>
      <c r="G605" s="27">
        <v>200.0</v>
      </c>
      <c r="H605" s="26"/>
      <c r="I605" s="26" t="s">
        <v>1898</v>
      </c>
      <c r="J605" s="26"/>
      <c r="K605" s="26" t="s">
        <v>45</v>
      </c>
      <c r="L605" s="26" t="s">
        <v>47</v>
      </c>
      <c r="M605" s="26" t="s">
        <v>61</v>
      </c>
      <c r="N605" s="26" t="s">
        <v>1848</v>
      </c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</row>
    <row r="606" ht="15.75" customHeight="1">
      <c r="A606" s="26">
        <v>605.0</v>
      </c>
      <c r="B606" s="17">
        <v>46068.0</v>
      </c>
      <c r="C606" s="26" t="s">
        <v>1899</v>
      </c>
      <c r="D606" s="26"/>
      <c r="E606" s="26"/>
      <c r="F606" s="26" t="s">
        <v>39</v>
      </c>
      <c r="G606" s="27">
        <v>100.0</v>
      </c>
      <c r="H606" s="26"/>
      <c r="I606" s="26" t="s">
        <v>1900</v>
      </c>
      <c r="J606" s="26"/>
      <c r="K606" s="26" t="s">
        <v>45</v>
      </c>
      <c r="L606" s="26" t="s">
        <v>47</v>
      </c>
      <c r="M606" s="26" t="s">
        <v>61</v>
      </c>
      <c r="N606" s="26" t="s">
        <v>1848</v>
      </c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</row>
    <row r="607" ht="15.75" customHeight="1">
      <c r="A607" s="26">
        <v>606.0</v>
      </c>
      <c r="B607" s="17">
        <v>46068.0</v>
      </c>
      <c r="C607" s="26" t="s">
        <v>1666</v>
      </c>
      <c r="D607" s="26"/>
      <c r="E607" s="26"/>
      <c r="F607" s="26" t="s">
        <v>39</v>
      </c>
      <c r="G607" s="27">
        <v>500.0</v>
      </c>
      <c r="H607" s="26"/>
      <c r="I607" s="26" t="s">
        <v>1901</v>
      </c>
      <c r="J607" s="26"/>
      <c r="K607" s="26" t="s">
        <v>45</v>
      </c>
      <c r="L607" s="26" t="s">
        <v>47</v>
      </c>
      <c r="M607" s="26" t="s">
        <v>61</v>
      </c>
      <c r="N607" s="26" t="s">
        <v>1848</v>
      </c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</row>
    <row r="608" ht="15.75" customHeight="1">
      <c r="A608" s="26">
        <v>607.0</v>
      </c>
      <c r="B608" s="17">
        <v>46068.0</v>
      </c>
      <c r="C608" s="26" t="s">
        <v>145</v>
      </c>
      <c r="D608" s="26"/>
      <c r="E608" s="26"/>
      <c r="F608" s="26" t="s">
        <v>39</v>
      </c>
      <c r="G608" s="27">
        <v>1100.0</v>
      </c>
      <c r="H608" s="26"/>
      <c r="I608" s="26" t="s">
        <v>1902</v>
      </c>
      <c r="J608" s="26"/>
      <c r="K608" s="26" t="s">
        <v>45</v>
      </c>
      <c r="L608" s="26" t="s">
        <v>47</v>
      </c>
      <c r="M608" s="26" t="s">
        <v>61</v>
      </c>
      <c r="N608" s="26" t="s">
        <v>1848</v>
      </c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</row>
    <row r="609" ht="15.75" customHeight="1">
      <c r="A609" s="26">
        <v>608.0</v>
      </c>
      <c r="B609" s="17">
        <v>46068.0</v>
      </c>
      <c r="C609" s="26" t="s">
        <v>1903</v>
      </c>
      <c r="D609" s="26"/>
      <c r="E609" s="26"/>
      <c r="F609" s="26" t="s">
        <v>39</v>
      </c>
      <c r="G609" s="27">
        <v>500.0</v>
      </c>
      <c r="H609" s="26"/>
      <c r="I609" s="26" t="s">
        <v>1904</v>
      </c>
      <c r="J609" s="26"/>
      <c r="K609" s="26" t="s">
        <v>45</v>
      </c>
      <c r="L609" s="26" t="s">
        <v>47</v>
      </c>
      <c r="M609" s="26" t="s">
        <v>61</v>
      </c>
      <c r="N609" s="26" t="s">
        <v>1848</v>
      </c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</row>
    <row r="610" ht="15.75" customHeight="1">
      <c r="A610" s="26">
        <v>609.0</v>
      </c>
      <c r="B610" s="17">
        <v>46068.0</v>
      </c>
      <c r="C610" s="26" t="s">
        <v>1905</v>
      </c>
      <c r="D610" s="26"/>
      <c r="E610" s="26"/>
      <c r="F610" s="26" t="s">
        <v>39</v>
      </c>
      <c r="G610" s="27">
        <v>501.0</v>
      </c>
      <c r="H610" s="26"/>
      <c r="I610" s="26" t="s">
        <v>1906</v>
      </c>
      <c r="J610" s="26"/>
      <c r="K610" s="26" t="s">
        <v>45</v>
      </c>
      <c r="L610" s="26" t="s">
        <v>47</v>
      </c>
      <c r="M610" s="26" t="s">
        <v>61</v>
      </c>
      <c r="N610" s="26" t="s">
        <v>1848</v>
      </c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</row>
    <row r="611" ht="15.75" customHeight="1">
      <c r="A611" s="26">
        <v>610.0</v>
      </c>
      <c r="B611" s="17">
        <v>46068.0</v>
      </c>
      <c r="C611" s="26" t="s">
        <v>1907</v>
      </c>
      <c r="D611" s="26"/>
      <c r="E611" s="26"/>
      <c r="F611" s="26" t="s">
        <v>39</v>
      </c>
      <c r="G611" s="27">
        <v>501.0</v>
      </c>
      <c r="H611" s="26"/>
      <c r="I611" s="26" t="s">
        <v>1908</v>
      </c>
      <c r="J611" s="26"/>
      <c r="K611" s="26" t="s">
        <v>45</v>
      </c>
      <c r="L611" s="26" t="s">
        <v>47</v>
      </c>
      <c r="M611" s="26" t="s">
        <v>61</v>
      </c>
      <c r="N611" s="26" t="s">
        <v>1848</v>
      </c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</row>
    <row r="612" ht="15.75" customHeight="1">
      <c r="A612" s="26">
        <v>611.0</v>
      </c>
      <c r="B612" s="17">
        <v>46068.0</v>
      </c>
      <c r="C612" s="26" t="s">
        <v>145</v>
      </c>
      <c r="D612" s="26"/>
      <c r="E612" s="26"/>
      <c r="F612" s="26" t="s">
        <v>39</v>
      </c>
      <c r="G612" s="27">
        <v>100.0</v>
      </c>
      <c r="H612" s="26"/>
      <c r="I612" s="26" t="s">
        <v>1909</v>
      </c>
      <c r="J612" s="26"/>
      <c r="K612" s="26" t="s">
        <v>45</v>
      </c>
      <c r="L612" s="26" t="s">
        <v>47</v>
      </c>
      <c r="M612" s="26" t="s">
        <v>61</v>
      </c>
      <c r="N612" s="26" t="s">
        <v>1848</v>
      </c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</row>
    <row r="613" ht="15.75" customHeight="1">
      <c r="A613" s="26">
        <v>612.0</v>
      </c>
      <c r="B613" s="17">
        <v>46068.0</v>
      </c>
      <c r="C613" s="26" t="s">
        <v>1910</v>
      </c>
      <c r="D613" s="26"/>
      <c r="E613" s="26"/>
      <c r="F613" s="26" t="s">
        <v>39</v>
      </c>
      <c r="G613" s="27">
        <v>1100.0</v>
      </c>
      <c r="H613" s="26"/>
      <c r="I613" s="26" t="s">
        <v>1911</v>
      </c>
      <c r="J613" s="26"/>
      <c r="K613" s="26" t="s">
        <v>45</v>
      </c>
      <c r="L613" s="26" t="s">
        <v>47</v>
      </c>
      <c r="M613" s="26" t="s">
        <v>61</v>
      </c>
      <c r="N613" s="26" t="s">
        <v>1848</v>
      </c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</row>
    <row r="614" ht="15.75" customHeight="1">
      <c r="A614" s="26">
        <v>613.0</v>
      </c>
      <c r="B614" s="17">
        <v>46068.0</v>
      </c>
      <c r="C614" s="26" t="s">
        <v>1912</v>
      </c>
      <c r="D614" s="26"/>
      <c r="E614" s="26"/>
      <c r="F614" s="26" t="s">
        <v>39</v>
      </c>
      <c r="G614" s="27">
        <v>101.0</v>
      </c>
      <c r="H614" s="26"/>
      <c r="I614" s="26" t="s">
        <v>1913</v>
      </c>
      <c r="J614" s="26"/>
      <c r="K614" s="26" t="s">
        <v>45</v>
      </c>
      <c r="L614" s="26" t="s">
        <v>47</v>
      </c>
      <c r="M614" s="26" t="s">
        <v>61</v>
      </c>
      <c r="N614" s="26" t="s">
        <v>1848</v>
      </c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</row>
    <row r="615" ht="15.75" customHeight="1">
      <c r="A615" s="26">
        <v>614.0</v>
      </c>
      <c r="B615" s="17">
        <v>46068.0</v>
      </c>
      <c r="C615" s="26" t="s">
        <v>1914</v>
      </c>
      <c r="D615" s="26"/>
      <c r="E615" s="26"/>
      <c r="F615" s="26" t="s">
        <v>39</v>
      </c>
      <c r="G615" s="27">
        <v>500.0</v>
      </c>
      <c r="H615" s="26"/>
      <c r="I615" s="26" t="s">
        <v>1915</v>
      </c>
      <c r="J615" s="26"/>
      <c r="K615" s="26" t="s">
        <v>45</v>
      </c>
      <c r="L615" s="26" t="s">
        <v>47</v>
      </c>
      <c r="M615" s="26" t="s">
        <v>61</v>
      </c>
      <c r="N615" s="26" t="s">
        <v>1848</v>
      </c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</row>
    <row r="616" ht="15.75" customHeight="1">
      <c r="A616" s="26">
        <v>615.0</v>
      </c>
      <c r="B616" s="17">
        <v>46068.0</v>
      </c>
      <c r="C616" s="26" t="s">
        <v>1916</v>
      </c>
      <c r="D616" s="26"/>
      <c r="E616" s="26"/>
      <c r="F616" s="26" t="s">
        <v>39</v>
      </c>
      <c r="G616" s="27">
        <v>500.0</v>
      </c>
      <c r="H616" s="26"/>
      <c r="I616" s="26" t="s">
        <v>1917</v>
      </c>
      <c r="J616" s="26"/>
      <c r="K616" s="26" t="s">
        <v>45</v>
      </c>
      <c r="L616" s="26" t="s">
        <v>47</v>
      </c>
      <c r="M616" s="26" t="s">
        <v>61</v>
      </c>
      <c r="N616" s="26" t="s">
        <v>1848</v>
      </c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</row>
    <row r="617" ht="15.75" customHeight="1">
      <c r="A617" s="26">
        <v>616.0</v>
      </c>
      <c r="B617" s="17">
        <v>46068.0</v>
      </c>
      <c r="C617" s="26" t="s">
        <v>697</v>
      </c>
      <c r="D617" s="26"/>
      <c r="E617" s="26"/>
      <c r="F617" s="26" t="s">
        <v>39</v>
      </c>
      <c r="G617" s="27">
        <v>500.0</v>
      </c>
      <c r="H617" s="26"/>
      <c r="I617" s="26" t="s">
        <v>1918</v>
      </c>
      <c r="J617" s="26"/>
      <c r="K617" s="26" t="s">
        <v>45</v>
      </c>
      <c r="L617" s="26" t="s">
        <v>47</v>
      </c>
      <c r="M617" s="26" t="s">
        <v>61</v>
      </c>
      <c r="N617" s="26" t="s">
        <v>1848</v>
      </c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</row>
    <row r="618" ht="15.75" customHeight="1">
      <c r="A618" s="26">
        <v>617.0</v>
      </c>
      <c r="B618" s="17">
        <v>46068.0</v>
      </c>
      <c r="C618" s="26" t="s">
        <v>1919</v>
      </c>
      <c r="D618" s="26"/>
      <c r="E618" s="26"/>
      <c r="F618" s="26" t="s">
        <v>39</v>
      </c>
      <c r="G618" s="27">
        <v>500.0</v>
      </c>
      <c r="H618" s="26"/>
      <c r="I618" s="26" t="s">
        <v>1920</v>
      </c>
      <c r="J618" s="26"/>
      <c r="K618" s="26" t="s">
        <v>45</v>
      </c>
      <c r="L618" s="26" t="s">
        <v>47</v>
      </c>
      <c r="M618" s="26" t="s">
        <v>61</v>
      </c>
      <c r="N618" s="26" t="s">
        <v>1848</v>
      </c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</row>
    <row r="619" ht="15.75" customHeight="1">
      <c r="A619" s="26">
        <v>618.0</v>
      </c>
      <c r="B619" s="17">
        <v>46068.0</v>
      </c>
      <c r="C619" s="26" t="s">
        <v>1921</v>
      </c>
      <c r="D619" s="26"/>
      <c r="E619" s="26"/>
      <c r="F619" s="26" t="s">
        <v>39</v>
      </c>
      <c r="G619" s="27">
        <v>1100.0</v>
      </c>
      <c r="H619" s="26"/>
      <c r="I619" s="26" t="s">
        <v>1922</v>
      </c>
      <c r="J619" s="26"/>
      <c r="K619" s="26" t="s">
        <v>45</v>
      </c>
      <c r="L619" s="26" t="s">
        <v>47</v>
      </c>
      <c r="M619" s="26" t="s">
        <v>61</v>
      </c>
      <c r="N619" s="26" t="s">
        <v>1848</v>
      </c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</row>
    <row r="620" ht="15.75" customHeight="1">
      <c r="A620" s="26">
        <v>619.0</v>
      </c>
      <c r="B620" s="17">
        <v>46068.0</v>
      </c>
      <c r="C620" s="26" t="s">
        <v>1923</v>
      </c>
      <c r="D620" s="26"/>
      <c r="E620" s="26"/>
      <c r="F620" s="26" t="s">
        <v>39</v>
      </c>
      <c r="G620" s="27">
        <v>100.0</v>
      </c>
      <c r="H620" s="26"/>
      <c r="I620" s="26" t="s">
        <v>1924</v>
      </c>
      <c r="J620" s="26"/>
      <c r="K620" s="26" t="s">
        <v>45</v>
      </c>
      <c r="L620" s="26" t="s">
        <v>47</v>
      </c>
      <c r="M620" s="26" t="s">
        <v>61</v>
      </c>
      <c r="N620" s="26" t="s">
        <v>1848</v>
      </c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</row>
    <row r="621" ht="15.75" customHeight="1">
      <c r="A621" s="26">
        <v>620.0</v>
      </c>
      <c r="B621" s="17">
        <v>46068.0</v>
      </c>
      <c r="C621" s="26" t="s">
        <v>1925</v>
      </c>
      <c r="D621" s="26"/>
      <c r="E621" s="26"/>
      <c r="F621" s="26" t="s">
        <v>39</v>
      </c>
      <c r="G621" s="27">
        <v>200.0</v>
      </c>
      <c r="H621" s="26"/>
      <c r="I621" s="26" t="s">
        <v>1926</v>
      </c>
      <c r="J621" s="26"/>
      <c r="K621" s="26" t="s">
        <v>45</v>
      </c>
      <c r="L621" s="26" t="s">
        <v>47</v>
      </c>
      <c r="M621" s="26" t="s">
        <v>61</v>
      </c>
      <c r="N621" s="26" t="s">
        <v>1848</v>
      </c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</row>
    <row r="622" ht="15.75" customHeight="1">
      <c r="A622" s="26">
        <v>621.0</v>
      </c>
      <c r="B622" s="17">
        <v>46068.0</v>
      </c>
      <c r="C622" s="26" t="s">
        <v>1927</v>
      </c>
      <c r="D622" s="26"/>
      <c r="E622" s="26"/>
      <c r="F622" s="26" t="s">
        <v>39</v>
      </c>
      <c r="G622" s="27">
        <v>500.0</v>
      </c>
      <c r="H622" s="26"/>
      <c r="I622" s="26" t="s">
        <v>1928</v>
      </c>
      <c r="J622" s="26"/>
      <c r="K622" s="26" t="s">
        <v>45</v>
      </c>
      <c r="L622" s="26" t="s">
        <v>47</v>
      </c>
      <c r="M622" s="26" t="s">
        <v>61</v>
      </c>
      <c r="N622" s="26" t="s">
        <v>1848</v>
      </c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</row>
    <row r="623" ht="15.75" customHeight="1">
      <c r="A623" s="26">
        <v>622.0</v>
      </c>
      <c r="B623" s="17">
        <v>46068.0</v>
      </c>
      <c r="C623" s="26" t="s">
        <v>145</v>
      </c>
      <c r="D623" s="26"/>
      <c r="E623" s="26"/>
      <c r="F623" s="26" t="s">
        <v>39</v>
      </c>
      <c r="G623" s="27">
        <v>100.0</v>
      </c>
      <c r="H623" s="26"/>
      <c r="I623" s="26" t="s">
        <v>1929</v>
      </c>
      <c r="J623" s="26"/>
      <c r="K623" s="26" t="s">
        <v>45</v>
      </c>
      <c r="L623" s="26" t="s">
        <v>47</v>
      </c>
      <c r="M623" s="26" t="s">
        <v>61</v>
      </c>
      <c r="N623" s="26" t="s">
        <v>1848</v>
      </c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</row>
    <row r="624" ht="15.75" customHeight="1">
      <c r="A624" s="26">
        <v>623.0</v>
      </c>
      <c r="B624" s="17">
        <v>46068.0</v>
      </c>
      <c r="C624" s="26" t="s">
        <v>1930</v>
      </c>
      <c r="D624" s="26"/>
      <c r="E624" s="26"/>
      <c r="F624" s="26" t="s">
        <v>39</v>
      </c>
      <c r="G624" s="27">
        <v>1100.0</v>
      </c>
      <c r="H624" s="26"/>
      <c r="I624" s="26" t="s">
        <v>1931</v>
      </c>
      <c r="J624" s="26"/>
      <c r="K624" s="26" t="s">
        <v>45</v>
      </c>
      <c r="L624" s="26" t="s">
        <v>47</v>
      </c>
      <c r="M624" s="26" t="s">
        <v>61</v>
      </c>
      <c r="N624" s="26" t="s">
        <v>1848</v>
      </c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</row>
    <row r="625" ht="15.75" customHeight="1">
      <c r="A625" s="26">
        <v>624.0</v>
      </c>
      <c r="B625" s="17">
        <v>46068.0</v>
      </c>
      <c r="C625" s="26" t="s">
        <v>145</v>
      </c>
      <c r="D625" s="26"/>
      <c r="E625" s="26"/>
      <c r="F625" s="26" t="s">
        <v>39</v>
      </c>
      <c r="G625" s="27">
        <v>100.0</v>
      </c>
      <c r="H625" s="26"/>
      <c r="I625" s="26" t="s">
        <v>1932</v>
      </c>
      <c r="J625" s="26"/>
      <c r="K625" s="26" t="s">
        <v>45</v>
      </c>
      <c r="L625" s="26" t="s">
        <v>47</v>
      </c>
      <c r="M625" s="26" t="s">
        <v>61</v>
      </c>
      <c r="N625" s="26" t="s">
        <v>1848</v>
      </c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</row>
    <row r="626" ht="15.75" customHeight="1">
      <c r="A626" s="26">
        <v>625.0</v>
      </c>
      <c r="B626" s="17">
        <v>46068.0</v>
      </c>
      <c r="C626" s="26" t="s">
        <v>1883</v>
      </c>
      <c r="D626" s="26"/>
      <c r="E626" s="26"/>
      <c r="F626" s="26" t="s">
        <v>39</v>
      </c>
      <c r="G626" s="27">
        <v>100.0</v>
      </c>
      <c r="H626" s="26"/>
      <c r="I626" s="26" t="s">
        <v>1933</v>
      </c>
      <c r="J626" s="26"/>
      <c r="K626" s="26" t="s">
        <v>45</v>
      </c>
      <c r="L626" s="26" t="s">
        <v>47</v>
      </c>
      <c r="M626" s="26" t="s">
        <v>61</v>
      </c>
      <c r="N626" s="26" t="s">
        <v>1848</v>
      </c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</row>
    <row r="627" ht="15.75" customHeight="1">
      <c r="A627" s="26">
        <v>626.0</v>
      </c>
      <c r="B627" s="17">
        <v>46068.0</v>
      </c>
      <c r="C627" s="26" t="s">
        <v>145</v>
      </c>
      <c r="D627" s="26"/>
      <c r="E627" s="26"/>
      <c r="F627" s="26" t="s">
        <v>39</v>
      </c>
      <c r="G627" s="27">
        <v>100.0</v>
      </c>
      <c r="H627" s="26"/>
      <c r="I627" s="26" t="s">
        <v>1934</v>
      </c>
      <c r="J627" s="26"/>
      <c r="K627" s="26" t="s">
        <v>45</v>
      </c>
      <c r="L627" s="26" t="s">
        <v>47</v>
      </c>
      <c r="M627" s="26" t="s">
        <v>61</v>
      </c>
      <c r="N627" s="26" t="s">
        <v>1848</v>
      </c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</row>
    <row r="628" ht="15.75" customHeight="1">
      <c r="A628" s="26">
        <v>627.0</v>
      </c>
      <c r="B628" s="17">
        <v>46068.0</v>
      </c>
      <c r="C628" s="26" t="s">
        <v>145</v>
      </c>
      <c r="D628" s="26"/>
      <c r="E628" s="26"/>
      <c r="F628" s="26" t="s">
        <v>39</v>
      </c>
      <c r="G628" s="27">
        <v>100.0</v>
      </c>
      <c r="H628" s="26"/>
      <c r="I628" s="26" t="s">
        <v>1935</v>
      </c>
      <c r="J628" s="26"/>
      <c r="K628" s="26" t="s">
        <v>45</v>
      </c>
      <c r="L628" s="26" t="s">
        <v>47</v>
      </c>
      <c r="M628" s="26" t="s">
        <v>61</v>
      </c>
      <c r="N628" s="26" t="s">
        <v>1848</v>
      </c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</row>
    <row r="629" ht="15.75" customHeight="1">
      <c r="A629" s="26">
        <v>628.0</v>
      </c>
      <c r="B629" s="17">
        <v>46068.0</v>
      </c>
      <c r="C629" s="26" t="s">
        <v>169</v>
      </c>
      <c r="D629" s="26"/>
      <c r="E629" s="26"/>
      <c r="F629" s="26" t="s">
        <v>39</v>
      </c>
      <c r="G629" s="27">
        <v>500.0</v>
      </c>
      <c r="H629" s="26"/>
      <c r="I629" s="26" t="s">
        <v>1936</v>
      </c>
      <c r="J629" s="26"/>
      <c r="K629" s="26" t="s">
        <v>45</v>
      </c>
      <c r="L629" s="26" t="s">
        <v>47</v>
      </c>
      <c r="M629" s="26" t="s">
        <v>61</v>
      </c>
      <c r="N629" s="26" t="s">
        <v>1848</v>
      </c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</row>
    <row r="630" ht="15.75" customHeight="1">
      <c r="A630" s="26">
        <v>629.0</v>
      </c>
      <c r="B630" s="17">
        <v>46068.0</v>
      </c>
      <c r="C630" s="26" t="s">
        <v>1937</v>
      </c>
      <c r="D630" s="26"/>
      <c r="E630" s="26"/>
      <c r="F630" s="26" t="s">
        <v>39</v>
      </c>
      <c r="G630" s="27">
        <v>500.0</v>
      </c>
      <c r="H630" s="26"/>
      <c r="I630" s="26" t="s">
        <v>1938</v>
      </c>
      <c r="J630" s="26"/>
      <c r="K630" s="26" t="s">
        <v>45</v>
      </c>
      <c r="L630" s="26" t="s">
        <v>47</v>
      </c>
      <c r="M630" s="26" t="s">
        <v>61</v>
      </c>
      <c r="N630" s="26" t="s">
        <v>1848</v>
      </c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</row>
    <row r="631" ht="15.75" customHeight="1">
      <c r="A631" s="26">
        <v>630.0</v>
      </c>
      <c r="B631" s="17">
        <v>46068.0</v>
      </c>
      <c r="C631" s="26" t="s">
        <v>145</v>
      </c>
      <c r="D631" s="26"/>
      <c r="E631" s="26"/>
      <c r="F631" s="26" t="s">
        <v>39</v>
      </c>
      <c r="G631" s="27">
        <v>100.0</v>
      </c>
      <c r="H631" s="26"/>
      <c r="I631" s="26" t="s">
        <v>1939</v>
      </c>
      <c r="J631" s="26"/>
      <c r="K631" s="26" t="s">
        <v>45</v>
      </c>
      <c r="L631" s="26" t="s">
        <v>47</v>
      </c>
      <c r="M631" s="26" t="s">
        <v>61</v>
      </c>
      <c r="N631" s="26" t="s">
        <v>1848</v>
      </c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</row>
    <row r="632" ht="15.75" customHeight="1">
      <c r="A632" s="26">
        <v>631.0</v>
      </c>
      <c r="B632" s="17">
        <v>46068.0</v>
      </c>
      <c r="C632" s="26" t="s">
        <v>1940</v>
      </c>
      <c r="D632" s="26"/>
      <c r="E632" s="26"/>
      <c r="F632" s="26" t="s">
        <v>39</v>
      </c>
      <c r="G632" s="27">
        <v>500.0</v>
      </c>
      <c r="H632" s="26"/>
      <c r="I632" s="26" t="s">
        <v>1941</v>
      </c>
      <c r="J632" s="26"/>
      <c r="K632" s="26" t="s">
        <v>45</v>
      </c>
      <c r="L632" s="26" t="s">
        <v>47</v>
      </c>
      <c r="M632" s="26" t="s">
        <v>61</v>
      </c>
      <c r="N632" s="26" t="s">
        <v>1848</v>
      </c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</row>
    <row r="633" ht="15.75" customHeight="1">
      <c r="A633" s="26">
        <v>632.0</v>
      </c>
      <c r="B633" s="17">
        <v>46068.0</v>
      </c>
      <c r="C633" s="26" t="s">
        <v>1942</v>
      </c>
      <c r="D633" s="26"/>
      <c r="E633" s="26"/>
      <c r="F633" s="26" t="s">
        <v>39</v>
      </c>
      <c r="G633" s="27">
        <v>1100.0</v>
      </c>
      <c r="H633" s="26"/>
      <c r="I633" s="26" t="s">
        <v>1943</v>
      </c>
      <c r="J633" s="26"/>
      <c r="K633" s="26" t="s">
        <v>45</v>
      </c>
      <c r="L633" s="26" t="s">
        <v>47</v>
      </c>
      <c r="M633" s="26" t="s">
        <v>61</v>
      </c>
      <c r="N633" s="26" t="s">
        <v>1848</v>
      </c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</row>
    <row r="634" ht="15.75" customHeight="1">
      <c r="A634" s="26">
        <v>633.0</v>
      </c>
      <c r="B634" s="17">
        <v>46068.0</v>
      </c>
      <c r="C634" s="26" t="s">
        <v>145</v>
      </c>
      <c r="D634" s="26"/>
      <c r="E634" s="26"/>
      <c r="F634" s="26" t="s">
        <v>39</v>
      </c>
      <c r="G634" s="27">
        <v>200.0</v>
      </c>
      <c r="H634" s="26"/>
      <c r="I634" s="26" t="s">
        <v>1944</v>
      </c>
      <c r="J634" s="26"/>
      <c r="K634" s="26" t="s">
        <v>45</v>
      </c>
      <c r="L634" s="26" t="s">
        <v>47</v>
      </c>
      <c r="M634" s="26" t="s">
        <v>61</v>
      </c>
      <c r="N634" s="26" t="s">
        <v>1848</v>
      </c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</row>
    <row r="635" ht="15.75" customHeight="1">
      <c r="A635" s="26">
        <v>634.0</v>
      </c>
      <c r="B635" s="17">
        <v>46068.0</v>
      </c>
      <c r="C635" s="26" t="s">
        <v>1945</v>
      </c>
      <c r="D635" s="26"/>
      <c r="E635" s="26"/>
      <c r="F635" s="26" t="s">
        <v>39</v>
      </c>
      <c r="G635" s="27">
        <v>250.0</v>
      </c>
      <c r="H635" s="26"/>
      <c r="I635" s="26" t="s">
        <v>1946</v>
      </c>
      <c r="J635" s="26"/>
      <c r="K635" s="26" t="s">
        <v>45</v>
      </c>
      <c r="L635" s="26" t="s">
        <v>47</v>
      </c>
      <c r="M635" s="26" t="s">
        <v>61</v>
      </c>
      <c r="N635" s="26" t="s">
        <v>1848</v>
      </c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</row>
    <row r="636" ht="15.75" customHeight="1">
      <c r="A636" s="26">
        <v>635.0</v>
      </c>
      <c r="B636" s="17">
        <v>46068.0</v>
      </c>
      <c r="C636" s="26" t="s">
        <v>1947</v>
      </c>
      <c r="D636" s="26"/>
      <c r="E636" s="26"/>
      <c r="F636" s="26" t="s">
        <v>39</v>
      </c>
      <c r="G636" s="27">
        <v>100.0</v>
      </c>
      <c r="H636" s="26"/>
      <c r="I636" s="26" t="s">
        <v>1948</v>
      </c>
      <c r="J636" s="26"/>
      <c r="K636" s="26" t="s">
        <v>45</v>
      </c>
      <c r="L636" s="26" t="s">
        <v>47</v>
      </c>
      <c r="M636" s="26" t="s">
        <v>61</v>
      </c>
      <c r="N636" s="26" t="s">
        <v>1848</v>
      </c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</row>
    <row r="637" ht="15.75" customHeight="1">
      <c r="A637" s="26">
        <v>636.0</v>
      </c>
      <c r="B637" s="17">
        <v>46068.0</v>
      </c>
      <c r="C637" s="26" t="s">
        <v>1949</v>
      </c>
      <c r="D637" s="26"/>
      <c r="E637" s="26"/>
      <c r="F637" s="26" t="s">
        <v>39</v>
      </c>
      <c r="G637" s="27">
        <v>101.0</v>
      </c>
      <c r="H637" s="26"/>
      <c r="I637" s="26" t="s">
        <v>1950</v>
      </c>
      <c r="J637" s="26"/>
      <c r="K637" s="26" t="s">
        <v>45</v>
      </c>
      <c r="L637" s="26" t="s">
        <v>47</v>
      </c>
      <c r="M637" s="26" t="s">
        <v>61</v>
      </c>
      <c r="N637" s="26" t="s">
        <v>1848</v>
      </c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</row>
    <row r="638" ht="15.75" customHeight="1">
      <c r="A638" s="26">
        <v>637.0</v>
      </c>
      <c r="B638" s="17">
        <v>46068.0</v>
      </c>
      <c r="C638" s="26" t="s">
        <v>1951</v>
      </c>
      <c r="D638" s="26"/>
      <c r="E638" s="26"/>
      <c r="F638" s="26" t="s">
        <v>39</v>
      </c>
      <c r="G638" s="27">
        <v>101.0</v>
      </c>
      <c r="H638" s="26"/>
      <c r="I638" s="26" t="s">
        <v>1952</v>
      </c>
      <c r="J638" s="26"/>
      <c r="K638" s="26" t="s">
        <v>45</v>
      </c>
      <c r="L638" s="26" t="s">
        <v>47</v>
      </c>
      <c r="M638" s="26" t="s">
        <v>61</v>
      </c>
      <c r="N638" s="26" t="s">
        <v>1848</v>
      </c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</row>
    <row r="639" ht="15.75" customHeight="1">
      <c r="A639" s="26">
        <v>638.0</v>
      </c>
      <c r="B639" s="17">
        <v>46068.0</v>
      </c>
      <c r="C639" s="26" t="s">
        <v>1953</v>
      </c>
      <c r="D639" s="26"/>
      <c r="E639" s="26"/>
      <c r="F639" s="26" t="s">
        <v>39</v>
      </c>
      <c r="G639" s="27">
        <v>500.0</v>
      </c>
      <c r="H639" s="26"/>
      <c r="I639" s="26" t="s">
        <v>1954</v>
      </c>
      <c r="J639" s="26"/>
      <c r="K639" s="26" t="s">
        <v>45</v>
      </c>
      <c r="L639" s="26" t="s">
        <v>47</v>
      </c>
      <c r="M639" s="26" t="s">
        <v>61</v>
      </c>
      <c r="N639" s="26" t="s">
        <v>1848</v>
      </c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</row>
    <row r="640" ht="15.75" customHeight="1">
      <c r="A640" s="26">
        <v>639.0</v>
      </c>
      <c r="B640" s="17">
        <v>46068.0</v>
      </c>
      <c r="C640" s="26" t="s">
        <v>1955</v>
      </c>
      <c r="D640" s="26"/>
      <c r="E640" s="26"/>
      <c r="F640" s="26" t="s">
        <v>39</v>
      </c>
      <c r="G640" s="27">
        <v>100.0</v>
      </c>
      <c r="H640" s="26"/>
      <c r="I640" s="26" t="s">
        <v>1956</v>
      </c>
      <c r="J640" s="26"/>
      <c r="K640" s="26" t="s">
        <v>45</v>
      </c>
      <c r="L640" s="26" t="s">
        <v>47</v>
      </c>
      <c r="M640" s="26" t="s">
        <v>61</v>
      </c>
      <c r="N640" s="26" t="s">
        <v>1848</v>
      </c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</row>
    <row r="641" ht="15.75" customHeight="1">
      <c r="A641" s="26">
        <v>640.0</v>
      </c>
      <c r="B641" s="17">
        <v>46068.0</v>
      </c>
      <c r="C641" s="26" t="s">
        <v>145</v>
      </c>
      <c r="D641" s="26"/>
      <c r="E641" s="26"/>
      <c r="F641" s="26" t="s">
        <v>39</v>
      </c>
      <c r="G641" s="27">
        <v>200.0</v>
      </c>
      <c r="H641" s="26"/>
      <c r="I641" s="26" t="s">
        <v>1957</v>
      </c>
      <c r="J641" s="26"/>
      <c r="K641" s="26" t="s">
        <v>45</v>
      </c>
      <c r="L641" s="26" t="s">
        <v>47</v>
      </c>
      <c r="M641" s="26" t="s">
        <v>61</v>
      </c>
      <c r="N641" s="26" t="s">
        <v>1848</v>
      </c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</row>
    <row r="642" ht="15.75" customHeight="1">
      <c r="A642" s="26">
        <v>641.0</v>
      </c>
      <c r="B642" s="17">
        <v>46068.0</v>
      </c>
      <c r="C642" s="26" t="s">
        <v>1958</v>
      </c>
      <c r="D642" s="26"/>
      <c r="E642" s="26"/>
      <c r="F642" s="26" t="s">
        <v>39</v>
      </c>
      <c r="G642" s="27">
        <v>200.0</v>
      </c>
      <c r="H642" s="26"/>
      <c r="I642" s="26" t="s">
        <v>1959</v>
      </c>
      <c r="J642" s="26"/>
      <c r="K642" s="26" t="s">
        <v>45</v>
      </c>
      <c r="L642" s="26" t="s">
        <v>47</v>
      </c>
      <c r="M642" s="26" t="s">
        <v>61</v>
      </c>
      <c r="N642" s="26" t="s">
        <v>1848</v>
      </c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</row>
    <row r="643" ht="15.75" customHeight="1">
      <c r="A643" s="26">
        <v>642.0</v>
      </c>
      <c r="B643" s="17">
        <v>46068.0</v>
      </c>
      <c r="C643" s="26" t="s">
        <v>1960</v>
      </c>
      <c r="D643" s="26"/>
      <c r="E643" s="26"/>
      <c r="F643" s="26" t="s">
        <v>39</v>
      </c>
      <c r="G643" s="27">
        <v>200.0</v>
      </c>
      <c r="H643" s="26"/>
      <c r="I643" s="26" t="s">
        <v>1961</v>
      </c>
      <c r="J643" s="26"/>
      <c r="K643" s="26" t="s">
        <v>45</v>
      </c>
      <c r="L643" s="26" t="s">
        <v>47</v>
      </c>
      <c r="M643" s="26" t="s">
        <v>61</v>
      </c>
      <c r="N643" s="26" t="s">
        <v>1848</v>
      </c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</row>
    <row r="644" ht="15.75" customHeight="1">
      <c r="A644" s="26">
        <v>643.0</v>
      </c>
      <c r="B644" s="17">
        <v>46068.0</v>
      </c>
      <c r="C644" s="26" t="s">
        <v>1962</v>
      </c>
      <c r="D644" s="26"/>
      <c r="E644" s="26"/>
      <c r="F644" s="26" t="s">
        <v>39</v>
      </c>
      <c r="G644" s="27">
        <v>1000.0</v>
      </c>
      <c r="H644" s="26"/>
      <c r="I644" s="26" t="s">
        <v>1963</v>
      </c>
      <c r="J644" s="26"/>
      <c r="K644" s="26" t="s">
        <v>45</v>
      </c>
      <c r="L644" s="26" t="s">
        <v>47</v>
      </c>
      <c r="M644" s="26" t="s">
        <v>61</v>
      </c>
      <c r="N644" s="26" t="s">
        <v>1848</v>
      </c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</row>
    <row r="645" ht="15.75" customHeight="1">
      <c r="A645" s="26">
        <v>644.0</v>
      </c>
      <c r="B645" s="17">
        <v>46068.0</v>
      </c>
      <c r="C645" s="26" t="s">
        <v>1964</v>
      </c>
      <c r="D645" s="26"/>
      <c r="E645" s="26"/>
      <c r="F645" s="26" t="s">
        <v>39</v>
      </c>
      <c r="G645" s="27">
        <v>200.0</v>
      </c>
      <c r="H645" s="26"/>
      <c r="I645" s="26" t="s">
        <v>1965</v>
      </c>
      <c r="J645" s="26"/>
      <c r="K645" s="26" t="s">
        <v>45</v>
      </c>
      <c r="L645" s="26" t="s">
        <v>47</v>
      </c>
      <c r="M645" s="26" t="s">
        <v>61</v>
      </c>
      <c r="N645" s="26" t="s">
        <v>1848</v>
      </c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</row>
    <row r="646" ht="15.75" customHeight="1">
      <c r="A646" s="26">
        <v>645.0</v>
      </c>
      <c r="B646" s="17">
        <v>46068.0</v>
      </c>
      <c r="C646" s="26" t="s">
        <v>1966</v>
      </c>
      <c r="D646" s="26"/>
      <c r="E646" s="26"/>
      <c r="F646" s="26" t="s">
        <v>39</v>
      </c>
      <c r="G646" s="27">
        <v>500.0</v>
      </c>
      <c r="H646" s="26"/>
      <c r="I646" s="26" t="s">
        <v>1967</v>
      </c>
      <c r="J646" s="26"/>
      <c r="K646" s="26" t="s">
        <v>45</v>
      </c>
      <c r="L646" s="26" t="s">
        <v>47</v>
      </c>
      <c r="M646" s="26" t="s">
        <v>61</v>
      </c>
      <c r="N646" s="26" t="s">
        <v>1848</v>
      </c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</row>
    <row r="647" ht="15.75" customHeight="1">
      <c r="A647" s="26">
        <v>646.0</v>
      </c>
      <c r="B647" s="17">
        <v>46068.0</v>
      </c>
      <c r="C647" s="26" t="s">
        <v>1968</v>
      </c>
      <c r="D647" s="26"/>
      <c r="E647" s="26"/>
      <c r="F647" s="26" t="s">
        <v>39</v>
      </c>
      <c r="G647" s="27">
        <v>501.0</v>
      </c>
      <c r="H647" s="26"/>
      <c r="I647" s="26" t="s">
        <v>1969</v>
      </c>
      <c r="J647" s="26"/>
      <c r="K647" s="26" t="s">
        <v>45</v>
      </c>
      <c r="L647" s="26" t="s">
        <v>47</v>
      </c>
      <c r="M647" s="26" t="s">
        <v>61</v>
      </c>
      <c r="N647" s="26" t="s">
        <v>1848</v>
      </c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</row>
    <row r="648" ht="15.75" customHeight="1">
      <c r="A648" s="26">
        <v>647.0</v>
      </c>
      <c r="B648" s="17">
        <v>46068.0</v>
      </c>
      <c r="C648" s="26" t="s">
        <v>145</v>
      </c>
      <c r="D648" s="26"/>
      <c r="E648" s="26"/>
      <c r="F648" s="26" t="s">
        <v>39</v>
      </c>
      <c r="G648" s="27">
        <v>2100.0</v>
      </c>
      <c r="H648" s="26"/>
      <c r="I648" s="26" t="s">
        <v>1970</v>
      </c>
      <c r="J648" s="26"/>
      <c r="K648" s="26" t="s">
        <v>45</v>
      </c>
      <c r="L648" s="26" t="s">
        <v>47</v>
      </c>
      <c r="M648" s="26" t="s">
        <v>61</v>
      </c>
      <c r="N648" s="26" t="s">
        <v>1848</v>
      </c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</row>
    <row r="649" ht="15.75" customHeight="1">
      <c r="A649" s="26">
        <v>648.0</v>
      </c>
      <c r="B649" s="17">
        <v>46068.0</v>
      </c>
      <c r="C649" s="26" t="s">
        <v>890</v>
      </c>
      <c r="D649" s="26"/>
      <c r="E649" s="26"/>
      <c r="F649" s="26" t="s">
        <v>39</v>
      </c>
      <c r="G649" s="27">
        <v>100.0</v>
      </c>
      <c r="H649" s="26"/>
      <c r="I649" s="26" t="s">
        <v>1971</v>
      </c>
      <c r="J649" s="26"/>
      <c r="K649" s="26" t="s">
        <v>45</v>
      </c>
      <c r="L649" s="26" t="s">
        <v>47</v>
      </c>
      <c r="M649" s="26" t="s">
        <v>61</v>
      </c>
      <c r="N649" s="26" t="s">
        <v>1848</v>
      </c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</row>
    <row r="650" ht="15.75" customHeight="1">
      <c r="A650" s="26">
        <v>649.0</v>
      </c>
      <c r="B650" s="17">
        <v>46068.0</v>
      </c>
      <c r="C650" s="26" t="s">
        <v>145</v>
      </c>
      <c r="D650" s="26"/>
      <c r="E650" s="26"/>
      <c r="F650" s="26" t="s">
        <v>39</v>
      </c>
      <c r="G650" s="27">
        <v>200.0</v>
      </c>
      <c r="H650" s="26"/>
      <c r="I650" s="26" t="s">
        <v>1972</v>
      </c>
      <c r="J650" s="26"/>
      <c r="K650" s="26" t="s">
        <v>45</v>
      </c>
      <c r="L650" s="26" t="s">
        <v>47</v>
      </c>
      <c r="M650" s="26" t="s">
        <v>61</v>
      </c>
      <c r="N650" s="26" t="s">
        <v>1848</v>
      </c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</row>
    <row r="651" ht="15.75" customHeight="1">
      <c r="A651" s="26">
        <v>650.0</v>
      </c>
      <c r="B651" s="17">
        <v>46068.0</v>
      </c>
      <c r="C651" s="26" t="s">
        <v>145</v>
      </c>
      <c r="D651" s="26"/>
      <c r="E651" s="26"/>
      <c r="F651" s="26" t="s">
        <v>39</v>
      </c>
      <c r="G651" s="27">
        <v>100.0</v>
      </c>
      <c r="H651" s="26"/>
      <c r="I651" s="26" t="s">
        <v>1973</v>
      </c>
      <c r="J651" s="26"/>
      <c r="K651" s="26" t="s">
        <v>45</v>
      </c>
      <c r="L651" s="26" t="s">
        <v>47</v>
      </c>
      <c r="M651" s="26" t="s">
        <v>61</v>
      </c>
      <c r="N651" s="26" t="s">
        <v>1848</v>
      </c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</row>
    <row r="652" ht="15.75" customHeight="1">
      <c r="A652" s="26">
        <v>651.0</v>
      </c>
      <c r="B652" s="17">
        <v>46068.0</v>
      </c>
      <c r="C652" s="33" t="s">
        <v>145</v>
      </c>
      <c r="D652" s="26"/>
      <c r="E652" s="26"/>
      <c r="F652" s="26" t="s">
        <v>39</v>
      </c>
      <c r="G652" s="27">
        <v>200.0</v>
      </c>
      <c r="H652" s="26"/>
      <c r="I652" s="26" t="s">
        <v>1974</v>
      </c>
      <c r="J652" s="26"/>
      <c r="K652" s="26" t="s">
        <v>45</v>
      </c>
      <c r="L652" s="26" t="s">
        <v>47</v>
      </c>
      <c r="M652" s="26" t="s">
        <v>61</v>
      </c>
      <c r="N652" s="26" t="s">
        <v>1848</v>
      </c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</row>
    <row r="653" ht="15.75" customHeight="1">
      <c r="A653" s="26">
        <v>652.0</v>
      </c>
      <c r="B653" s="17">
        <v>46068.0</v>
      </c>
      <c r="C653" s="26" t="s">
        <v>1975</v>
      </c>
      <c r="D653" s="26"/>
      <c r="E653" s="26"/>
      <c r="F653" s="26" t="s">
        <v>39</v>
      </c>
      <c r="G653" s="27">
        <v>1100.0</v>
      </c>
      <c r="H653" s="26"/>
      <c r="I653" s="26" t="s">
        <v>1976</v>
      </c>
      <c r="J653" s="26"/>
      <c r="K653" s="26" t="s">
        <v>45</v>
      </c>
      <c r="L653" s="26" t="s">
        <v>47</v>
      </c>
      <c r="M653" s="26" t="s">
        <v>61</v>
      </c>
      <c r="N653" s="26" t="s">
        <v>1848</v>
      </c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</row>
    <row r="654" ht="15.75" customHeight="1">
      <c r="A654" s="26">
        <v>653.0</v>
      </c>
      <c r="B654" s="17">
        <v>46068.0</v>
      </c>
      <c r="C654" s="26" t="s">
        <v>1977</v>
      </c>
      <c r="D654" s="26"/>
      <c r="E654" s="26"/>
      <c r="F654" s="26" t="s">
        <v>39</v>
      </c>
      <c r="G654" s="27">
        <v>500.0</v>
      </c>
      <c r="H654" s="26"/>
      <c r="I654" s="26" t="s">
        <v>1978</v>
      </c>
      <c r="J654" s="26"/>
      <c r="K654" s="26" t="s">
        <v>45</v>
      </c>
      <c r="L654" s="26" t="s">
        <v>47</v>
      </c>
      <c r="M654" s="26" t="s">
        <v>61</v>
      </c>
      <c r="N654" s="26" t="s">
        <v>1848</v>
      </c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</row>
    <row r="655" ht="15.75" customHeight="1">
      <c r="A655" s="26">
        <v>654.0</v>
      </c>
      <c r="B655" s="17">
        <v>46068.0</v>
      </c>
      <c r="C655" s="26" t="s">
        <v>583</v>
      </c>
      <c r="D655" s="26"/>
      <c r="E655" s="26"/>
      <c r="F655" s="26" t="s">
        <v>39</v>
      </c>
      <c r="G655" s="27">
        <v>1100.0</v>
      </c>
      <c r="H655" s="26"/>
      <c r="I655" s="26" t="s">
        <v>1979</v>
      </c>
      <c r="J655" s="26"/>
      <c r="K655" s="26" t="s">
        <v>45</v>
      </c>
      <c r="L655" s="26" t="s">
        <v>47</v>
      </c>
      <c r="M655" s="26" t="s">
        <v>61</v>
      </c>
      <c r="N655" s="26" t="s">
        <v>1848</v>
      </c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</row>
    <row r="656" ht="15.75" customHeight="1">
      <c r="A656" s="26">
        <v>655.0</v>
      </c>
      <c r="B656" s="17">
        <v>46068.0</v>
      </c>
      <c r="C656" s="26" t="s">
        <v>145</v>
      </c>
      <c r="D656" s="26"/>
      <c r="E656" s="26"/>
      <c r="F656" s="26" t="s">
        <v>39</v>
      </c>
      <c r="G656" s="27">
        <v>501.0</v>
      </c>
      <c r="H656" s="26"/>
      <c r="I656" s="26" t="s">
        <v>1980</v>
      </c>
      <c r="J656" s="26"/>
      <c r="K656" s="26" t="s">
        <v>45</v>
      </c>
      <c r="L656" s="26" t="s">
        <v>47</v>
      </c>
      <c r="M656" s="26" t="s">
        <v>61</v>
      </c>
      <c r="N656" s="26" t="s">
        <v>1848</v>
      </c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</row>
    <row r="657" ht="15.75" customHeight="1">
      <c r="A657" s="26">
        <v>656.0</v>
      </c>
      <c r="B657" s="17">
        <v>46068.0</v>
      </c>
      <c r="C657" s="26" t="s">
        <v>1981</v>
      </c>
      <c r="D657" s="26"/>
      <c r="E657" s="26"/>
      <c r="F657" s="26" t="s">
        <v>39</v>
      </c>
      <c r="G657" s="27">
        <v>100.0</v>
      </c>
      <c r="H657" s="26"/>
      <c r="I657" s="26" t="s">
        <v>1982</v>
      </c>
      <c r="J657" s="26"/>
      <c r="K657" s="26" t="s">
        <v>45</v>
      </c>
      <c r="L657" s="26" t="s">
        <v>47</v>
      </c>
      <c r="M657" s="26" t="s">
        <v>61</v>
      </c>
      <c r="N657" s="26" t="s">
        <v>1848</v>
      </c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</row>
    <row r="658" ht="15.75" customHeight="1">
      <c r="A658" s="26">
        <v>657.0</v>
      </c>
      <c r="B658" s="17">
        <v>46068.0</v>
      </c>
      <c r="C658" s="26" t="s">
        <v>1744</v>
      </c>
      <c r="D658" s="26"/>
      <c r="E658" s="26"/>
      <c r="F658" s="26" t="s">
        <v>39</v>
      </c>
      <c r="G658" s="27">
        <v>100.0</v>
      </c>
      <c r="H658" s="26"/>
      <c r="I658" s="26" t="s">
        <v>1983</v>
      </c>
      <c r="J658" s="26"/>
      <c r="K658" s="26" t="s">
        <v>45</v>
      </c>
      <c r="L658" s="26" t="s">
        <v>47</v>
      </c>
      <c r="M658" s="26" t="s">
        <v>61</v>
      </c>
      <c r="N658" s="26" t="s">
        <v>1848</v>
      </c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</row>
    <row r="659" ht="15.75" customHeight="1">
      <c r="A659" s="26">
        <v>658.0</v>
      </c>
      <c r="B659" s="17">
        <v>46068.0</v>
      </c>
      <c r="C659" s="26" t="s">
        <v>145</v>
      </c>
      <c r="D659" s="26"/>
      <c r="E659" s="26"/>
      <c r="F659" s="26" t="s">
        <v>39</v>
      </c>
      <c r="G659" s="27">
        <v>100.0</v>
      </c>
      <c r="H659" s="26"/>
      <c r="I659" s="26" t="s">
        <v>1984</v>
      </c>
      <c r="J659" s="26"/>
      <c r="K659" s="26" t="s">
        <v>45</v>
      </c>
      <c r="L659" s="26" t="s">
        <v>47</v>
      </c>
      <c r="M659" s="26" t="s">
        <v>61</v>
      </c>
      <c r="N659" s="26" t="s">
        <v>1848</v>
      </c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</row>
    <row r="660" ht="15.75" customHeight="1">
      <c r="A660" s="26">
        <v>659.0</v>
      </c>
      <c r="B660" s="17">
        <v>46068.0</v>
      </c>
      <c r="C660" s="26" t="s">
        <v>1985</v>
      </c>
      <c r="D660" s="26"/>
      <c r="E660" s="26"/>
      <c r="F660" s="26" t="s">
        <v>39</v>
      </c>
      <c r="G660" s="27">
        <v>501.0</v>
      </c>
      <c r="H660" s="26"/>
      <c r="I660" s="26" t="s">
        <v>1986</v>
      </c>
      <c r="J660" s="26"/>
      <c r="K660" s="26" t="s">
        <v>45</v>
      </c>
      <c r="L660" s="26" t="s">
        <v>47</v>
      </c>
      <c r="M660" s="26" t="s">
        <v>61</v>
      </c>
      <c r="N660" s="26" t="s">
        <v>1848</v>
      </c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</row>
    <row r="661" ht="15.75" customHeight="1">
      <c r="A661" s="26">
        <v>660.0</v>
      </c>
      <c r="B661" s="17">
        <v>46068.0</v>
      </c>
      <c r="C661" s="26" t="s">
        <v>145</v>
      </c>
      <c r="D661" s="26"/>
      <c r="E661" s="26"/>
      <c r="F661" s="26" t="s">
        <v>39</v>
      </c>
      <c r="G661" s="27">
        <v>200.0</v>
      </c>
      <c r="H661" s="26"/>
      <c r="I661" s="26" t="s">
        <v>1987</v>
      </c>
      <c r="J661" s="26"/>
      <c r="K661" s="26" t="s">
        <v>45</v>
      </c>
      <c r="L661" s="26" t="s">
        <v>47</v>
      </c>
      <c r="M661" s="26" t="s">
        <v>61</v>
      </c>
      <c r="N661" s="26" t="s">
        <v>1848</v>
      </c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</row>
    <row r="662" ht="15.75" customHeight="1">
      <c r="A662" s="26">
        <v>661.0</v>
      </c>
      <c r="B662" s="17">
        <v>46068.0</v>
      </c>
      <c r="C662" s="26" t="s">
        <v>1988</v>
      </c>
      <c r="D662" s="26"/>
      <c r="E662" s="26"/>
      <c r="F662" s="26" t="s">
        <v>39</v>
      </c>
      <c r="G662" s="27">
        <v>200.0</v>
      </c>
      <c r="H662" s="26"/>
      <c r="I662" s="26" t="s">
        <v>1989</v>
      </c>
      <c r="J662" s="26"/>
      <c r="K662" s="26" t="s">
        <v>45</v>
      </c>
      <c r="L662" s="26" t="s">
        <v>47</v>
      </c>
      <c r="M662" s="26" t="s">
        <v>61</v>
      </c>
      <c r="N662" s="26" t="s">
        <v>1848</v>
      </c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</row>
    <row r="663" ht="15.75" customHeight="1">
      <c r="A663" s="26">
        <v>662.0</v>
      </c>
      <c r="B663" s="17">
        <v>46068.0</v>
      </c>
      <c r="C663" s="26" t="s">
        <v>1990</v>
      </c>
      <c r="D663" s="26"/>
      <c r="E663" s="26"/>
      <c r="F663" s="26" t="s">
        <v>39</v>
      </c>
      <c r="G663" s="27">
        <v>200.0</v>
      </c>
      <c r="H663" s="26"/>
      <c r="I663" s="26" t="s">
        <v>1991</v>
      </c>
      <c r="J663" s="26"/>
      <c r="K663" s="26" t="s">
        <v>45</v>
      </c>
      <c r="L663" s="26" t="s">
        <v>47</v>
      </c>
      <c r="M663" s="26" t="s">
        <v>61</v>
      </c>
      <c r="N663" s="26" t="s">
        <v>1848</v>
      </c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</row>
    <row r="664" ht="15.75" customHeight="1">
      <c r="A664" s="26">
        <v>663.0</v>
      </c>
      <c r="B664" s="17">
        <v>46068.0</v>
      </c>
      <c r="C664" s="26" t="s">
        <v>1992</v>
      </c>
      <c r="D664" s="26"/>
      <c r="E664" s="26"/>
      <c r="F664" s="26" t="s">
        <v>39</v>
      </c>
      <c r="G664" s="27">
        <v>200.0</v>
      </c>
      <c r="H664" s="26"/>
      <c r="I664" s="26" t="s">
        <v>1993</v>
      </c>
      <c r="J664" s="26"/>
      <c r="K664" s="26" t="s">
        <v>45</v>
      </c>
      <c r="L664" s="26" t="s">
        <v>47</v>
      </c>
      <c r="M664" s="26" t="s">
        <v>61</v>
      </c>
      <c r="N664" s="26" t="s">
        <v>1848</v>
      </c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</row>
    <row r="665" ht="15.75" customHeight="1">
      <c r="A665" s="26">
        <v>664.0</v>
      </c>
      <c r="B665" s="17">
        <v>46068.0</v>
      </c>
      <c r="C665" s="26" t="s">
        <v>1994</v>
      </c>
      <c r="D665" s="26"/>
      <c r="E665" s="26"/>
      <c r="F665" s="26" t="s">
        <v>39</v>
      </c>
      <c r="G665" s="27">
        <v>2100.0</v>
      </c>
      <c r="H665" s="26"/>
      <c r="I665" s="26" t="s">
        <v>1995</v>
      </c>
      <c r="J665" s="26"/>
      <c r="K665" s="26" t="s">
        <v>45</v>
      </c>
      <c r="L665" s="26" t="s">
        <v>47</v>
      </c>
      <c r="M665" s="26" t="s">
        <v>61</v>
      </c>
      <c r="N665" s="26" t="s">
        <v>1848</v>
      </c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</row>
    <row r="666" ht="15.75" customHeight="1">
      <c r="A666" s="26">
        <v>665.0</v>
      </c>
      <c r="B666" s="17">
        <v>46068.0</v>
      </c>
      <c r="C666" s="26" t="s">
        <v>1996</v>
      </c>
      <c r="D666" s="26"/>
      <c r="E666" s="26"/>
      <c r="F666" s="26" t="s">
        <v>39</v>
      </c>
      <c r="G666" s="27">
        <v>501.0</v>
      </c>
      <c r="H666" s="26"/>
      <c r="I666" s="26" t="s">
        <v>1997</v>
      </c>
      <c r="J666" s="26"/>
      <c r="K666" s="26" t="s">
        <v>45</v>
      </c>
      <c r="L666" s="26" t="s">
        <v>47</v>
      </c>
      <c r="M666" s="26" t="s">
        <v>61</v>
      </c>
      <c r="N666" s="26" t="s">
        <v>1848</v>
      </c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</row>
    <row r="667" ht="15.75" customHeight="1">
      <c r="A667" s="26">
        <v>666.0</v>
      </c>
      <c r="B667" s="17">
        <v>46068.0</v>
      </c>
      <c r="C667" s="26" t="s">
        <v>1998</v>
      </c>
      <c r="D667" s="26"/>
      <c r="E667" s="26"/>
      <c r="F667" s="26" t="s">
        <v>39</v>
      </c>
      <c r="G667" s="27">
        <v>100.0</v>
      </c>
      <c r="H667" s="26"/>
      <c r="I667" s="26" t="s">
        <v>1999</v>
      </c>
      <c r="J667" s="26"/>
      <c r="K667" s="26" t="s">
        <v>45</v>
      </c>
      <c r="L667" s="26" t="s">
        <v>47</v>
      </c>
      <c r="M667" s="26" t="s">
        <v>61</v>
      </c>
      <c r="N667" s="26" t="s">
        <v>1848</v>
      </c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</row>
    <row r="668" ht="15.75" customHeight="1">
      <c r="A668" s="26">
        <v>667.0</v>
      </c>
      <c r="B668" s="17">
        <v>46068.0</v>
      </c>
      <c r="C668" s="26" t="s">
        <v>2000</v>
      </c>
      <c r="D668" s="26"/>
      <c r="E668" s="26"/>
      <c r="F668" s="26" t="s">
        <v>39</v>
      </c>
      <c r="G668" s="27">
        <v>1100.0</v>
      </c>
      <c r="H668" s="26"/>
      <c r="I668" s="26" t="s">
        <v>2001</v>
      </c>
      <c r="J668" s="26"/>
      <c r="K668" s="26" t="s">
        <v>45</v>
      </c>
      <c r="L668" s="26" t="s">
        <v>47</v>
      </c>
      <c r="M668" s="26" t="s">
        <v>61</v>
      </c>
      <c r="N668" s="26" t="s">
        <v>1848</v>
      </c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</row>
    <row r="669" ht="15.75" customHeight="1">
      <c r="A669" s="26">
        <v>668.0</v>
      </c>
      <c r="B669" s="17">
        <v>46068.0</v>
      </c>
      <c r="C669" s="26" t="s">
        <v>2002</v>
      </c>
      <c r="D669" s="26"/>
      <c r="E669" s="26"/>
      <c r="F669" s="26" t="s">
        <v>39</v>
      </c>
      <c r="G669" s="27">
        <v>500.0</v>
      </c>
      <c r="H669" s="26"/>
      <c r="I669" s="26" t="s">
        <v>2003</v>
      </c>
      <c r="J669" s="26"/>
      <c r="K669" s="26" t="s">
        <v>45</v>
      </c>
      <c r="L669" s="26" t="s">
        <v>47</v>
      </c>
      <c r="M669" s="26" t="s">
        <v>61</v>
      </c>
      <c r="N669" s="26" t="s">
        <v>1848</v>
      </c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</row>
    <row r="670" ht="15.75" customHeight="1">
      <c r="A670" s="26">
        <v>669.0</v>
      </c>
      <c r="B670" s="17">
        <v>46068.0</v>
      </c>
      <c r="C670" s="26" t="s">
        <v>1738</v>
      </c>
      <c r="D670" s="26"/>
      <c r="E670" s="26"/>
      <c r="F670" s="26" t="s">
        <v>39</v>
      </c>
      <c r="G670" s="27">
        <v>500.0</v>
      </c>
      <c r="H670" s="26"/>
      <c r="I670" s="26" t="s">
        <v>2004</v>
      </c>
      <c r="J670" s="26"/>
      <c r="K670" s="26" t="s">
        <v>45</v>
      </c>
      <c r="L670" s="26" t="s">
        <v>47</v>
      </c>
      <c r="M670" s="26" t="s">
        <v>61</v>
      </c>
      <c r="N670" s="26" t="s">
        <v>1848</v>
      </c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</row>
    <row r="671" ht="15.75" customHeight="1">
      <c r="A671" s="26">
        <v>670.0</v>
      </c>
      <c r="B671" s="17">
        <v>46068.0</v>
      </c>
      <c r="C671" s="26" t="s">
        <v>2005</v>
      </c>
      <c r="D671" s="26"/>
      <c r="E671" s="26"/>
      <c r="F671" s="26" t="s">
        <v>39</v>
      </c>
      <c r="G671" s="27">
        <v>500.0</v>
      </c>
      <c r="H671" s="26"/>
      <c r="I671" s="26" t="s">
        <v>2006</v>
      </c>
      <c r="J671" s="26"/>
      <c r="K671" s="26" t="s">
        <v>45</v>
      </c>
      <c r="L671" s="26" t="s">
        <v>47</v>
      </c>
      <c r="M671" s="26" t="s">
        <v>61</v>
      </c>
      <c r="N671" s="26" t="s">
        <v>1848</v>
      </c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</row>
    <row r="672" ht="15.75" customHeight="1">
      <c r="A672" s="26">
        <v>671.0</v>
      </c>
      <c r="B672" s="17">
        <v>46068.0</v>
      </c>
      <c r="C672" s="26" t="s">
        <v>2007</v>
      </c>
      <c r="D672" s="26"/>
      <c r="E672" s="26"/>
      <c r="F672" s="26" t="s">
        <v>39</v>
      </c>
      <c r="G672" s="27">
        <v>100.0</v>
      </c>
      <c r="H672" s="26"/>
      <c r="I672" s="26" t="s">
        <v>2008</v>
      </c>
      <c r="J672" s="26"/>
      <c r="K672" s="26" t="s">
        <v>45</v>
      </c>
      <c r="L672" s="26" t="s">
        <v>47</v>
      </c>
      <c r="M672" s="26" t="s">
        <v>61</v>
      </c>
      <c r="N672" s="26" t="s">
        <v>1848</v>
      </c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</row>
    <row r="673" ht="15.75" customHeight="1">
      <c r="A673" s="26">
        <v>672.0</v>
      </c>
      <c r="B673" s="17">
        <v>46068.0</v>
      </c>
      <c r="C673" s="26" t="s">
        <v>756</v>
      </c>
      <c r="D673" s="26"/>
      <c r="E673" s="26"/>
      <c r="F673" s="26" t="s">
        <v>39</v>
      </c>
      <c r="G673" s="27">
        <v>201.0</v>
      </c>
      <c r="H673" s="26"/>
      <c r="I673" s="26" t="s">
        <v>2009</v>
      </c>
      <c r="J673" s="26"/>
      <c r="K673" s="26" t="s">
        <v>45</v>
      </c>
      <c r="L673" s="26" t="s">
        <v>47</v>
      </c>
      <c r="M673" s="26" t="s">
        <v>61</v>
      </c>
      <c r="N673" s="26" t="s">
        <v>1848</v>
      </c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</row>
    <row r="674" ht="15.75" customHeight="1">
      <c r="A674" s="26">
        <v>673.0</v>
      </c>
      <c r="B674" s="17">
        <v>46068.0</v>
      </c>
      <c r="C674" s="26" t="s">
        <v>145</v>
      </c>
      <c r="D674" s="26"/>
      <c r="E674" s="26"/>
      <c r="F674" s="26" t="s">
        <v>39</v>
      </c>
      <c r="G674" s="27">
        <v>1000.0</v>
      </c>
      <c r="H674" s="26"/>
      <c r="I674" s="26" t="s">
        <v>2010</v>
      </c>
      <c r="J674" s="26"/>
      <c r="K674" s="26" t="s">
        <v>45</v>
      </c>
      <c r="L674" s="26" t="s">
        <v>47</v>
      </c>
      <c r="M674" s="26" t="s">
        <v>61</v>
      </c>
      <c r="N674" s="26" t="s">
        <v>1848</v>
      </c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</row>
    <row r="675" ht="15.75" customHeight="1">
      <c r="A675" s="26">
        <v>674.0</v>
      </c>
      <c r="B675" s="17">
        <v>46068.0</v>
      </c>
      <c r="C675" s="26" t="s">
        <v>145</v>
      </c>
      <c r="D675" s="26"/>
      <c r="E675" s="26"/>
      <c r="F675" s="26" t="s">
        <v>39</v>
      </c>
      <c r="G675" s="27">
        <v>500.0</v>
      </c>
      <c r="H675" s="26"/>
      <c r="I675" s="26" t="s">
        <v>2011</v>
      </c>
      <c r="J675" s="26"/>
      <c r="K675" s="26" t="s">
        <v>45</v>
      </c>
      <c r="L675" s="26" t="s">
        <v>47</v>
      </c>
      <c r="M675" s="26" t="s">
        <v>61</v>
      </c>
      <c r="N675" s="26" t="s">
        <v>1848</v>
      </c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</row>
    <row r="676" ht="15.75" customHeight="1">
      <c r="A676" s="26">
        <v>675.0</v>
      </c>
      <c r="B676" s="17">
        <v>46068.0</v>
      </c>
      <c r="C676" s="26" t="s">
        <v>145</v>
      </c>
      <c r="D676" s="26"/>
      <c r="E676" s="26"/>
      <c r="F676" s="26" t="s">
        <v>39</v>
      </c>
      <c r="G676" s="27">
        <v>500.0</v>
      </c>
      <c r="H676" s="26"/>
      <c r="I676" s="26" t="s">
        <v>2012</v>
      </c>
      <c r="J676" s="26"/>
      <c r="K676" s="26" t="s">
        <v>45</v>
      </c>
      <c r="L676" s="26" t="s">
        <v>47</v>
      </c>
      <c r="M676" s="26" t="s">
        <v>61</v>
      </c>
      <c r="N676" s="26" t="s">
        <v>1848</v>
      </c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</row>
    <row r="677" ht="15.75" customHeight="1">
      <c r="A677" s="26">
        <v>676.0</v>
      </c>
      <c r="B677" s="17">
        <v>46068.0</v>
      </c>
      <c r="C677" s="26" t="s">
        <v>145</v>
      </c>
      <c r="D677" s="26"/>
      <c r="E677" s="26"/>
      <c r="F677" s="26" t="s">
        <v>39</v>
      </c>
      <c r="G677" s="27">
        <v>500.0</v>
      </c>
      <c r="H677" s="26"/>
      <c r="I677" s="26" t="s">
        <v>2013</v>
      </c>
      <c r="J677" s="26"/>
      <c r="K677" s="26" t="s">
        <v>45</v>
      </c>
      <c r="L677" s="26" t="s">
        <v>47</v>
      </c>
      <c r="M677" s="26" t="s">
        <v>61</v>
      </c>
      <c r="N677" s="26" t="s">
        <v>1848</v>
      </c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</row>
    <row r="678" ht="15.75" customHeight="1">
      <c r="A678" s="26">
        <v>677.0</v>
      </c>
      <c r="B678" s="17">
        <v>46068.0</v>
      </c>
      <c r="C678" s="33" t="s">
        <v>145</v>
      </c>
      <c r="D678" s="95"/>
      <c r="E678" s="95"/>
      <c r="F678" s="26" t="s">
        <v>39</v>
      </c>
      <c r="G678" s="94">
        <v>500.0</v>
      </c>
      <c r="H678" s="95"/>
      <c r="I678" s="26" t="s">
        <v>2014</v>
      </c>
      <c r="J678" s="26"/>
      <c r="K678" s="26" t="s">
        <v>45</v>
      </c>
      <c r="L678" s="26" t="s">
        <v>47</v>
      </c>
      <c r="M678" s="26" t="s">
        <v>61</v>
      </c>
      <c r="N678" s="26" t="s">
        <v>1848</v>
      </c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</row>
    <row r="679" ht="15.75" customHeight="1">
      <c r="A679" s="26">
        <v>678.0</v>
      </c>
      <c r="B679" s="17">
        <v>46068.0</v>
      </c>
      <c r="C679" s="26" t="s">
        <v>2015</v>
      </c>
      <c r="D679" s="26"/>
      <c r="E679" s="26"/>
      <c r="F679" s="26" t="s">
        <v>39</v>
      </c>
      <c r="G679" s="27">
        <v>500.0</v>
      </c>
      <c r="H679" s="26"/>
      <c r="I679" s="26" t="s">
        <v>2016</v>
      </c>
      <c r="J679" s="26"/>
      <c r="K679" s="26" t="s">
        <v>45</v>
      </c>
      <c r="L679" s="26" t="s">
        <v>47</v>
      </c>
      <c r="M679" s="26" t="s">
        <v>61</v>
      </c>
      <c r="N679" s="26" t="s">
        <v>1848</v>
      </c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</row>
    <row r="680" ht="15.75" customHeight="1">
      <c r="A680" s="26">
        <v>679.0</v>
      </c>
      <c r="B680" s="17">
        <v>46068.0</v>
      </c>
      <c r="C680" s="26" t="s">
        <v>2017</v>
      </c>
      <c r="D680" s="26"/>
      <c r="E680" s="26"/>
      <c r="F680" s="26" t="s">
        <v>39</v>
      </c>
      <c r="G680" s="27">
        <v>500.0</v>
      </c>
      <c r="H680" s="26"/>
      <c r="I680" s="26" t="s">
        <v>2018</v>
      </c>
      <c r="J680" s="26"/>
      <c r="K680" s="26" t="s">
        <v>45</v>
      </c>
      <c r="L680" s="26" t="s">
        <v>47</v>
      </c>
      <c r="M680" s="26" t="s">
        <v>61</v>
      </c>
      <c r="N680" s="26" t="s">
        <v>1848</v>
      </c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</row>
    <row r="681" ht="15.75" customHeight="1">
      <c r="A681" s="26">
        <v>680.0</v>
      </c>
      <c r="B681" s="17">
        <v>46068.0</v>
      </c>
      <c r="C681" s="26" t="s">
        <v>82</v>
      </c>
      <c r="D681" s="26"/>
      <c r="E681" s="26"/>
      <c r="F681" s="26" t="s">
        <v>39</v>
      </c>
      <c r="G681" s="27">
        <v>5100.0</v>
      </c>
      <c r="H681" s="26"/>
      <c r="I681" s="26" t="s">
        <v>2019</v>
      </c>
      <c r="J681" s="26"/>
      <c r="K681" s="26" t="s">
        <v>45</v>
      </c>
      <c r="L681" s="26" t="s">
        <v>47</v>
      </c>
      <c r="M681" s="26" t="s">
        <v>61</v>
      </c>
      <c r="N681" s="26" t="s">
        <v>1848</v>
      </c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</row>
    <row r="682" ht="15.75" customHeight="1">
      <c r="A682" s="26">
        <v>681.0</v>
      </c>
      <c r="B682" s="17">
        <v>46068.0</v>
      </c>
      <c r="C682" s="26" t="s">
        <v>2020</v>
      </c>
      <c r="D682" s="26"/>
      <c r="E682" s="26"/>
      <c r="F682" s="26" t="s">
        <v>39</v>
      </c>
      <c r="G682" s="27">
        <v>500.0</v>
      </c>
      <c r="H682" s="26"/>
      <c r="I682" s="26" t="s">
        <v>2021</v>
      </c>
      <c r="J682" s="26"/>
      <c r="K682" s="26" t="s">
        <v>45</v>
      </c>
      <c r="L682" s="26" t="s">
        <v>47</v>
      </c>
      <c r="M682" s="26" t="s">
        <v>61</v>
      </c>
      <c r="N682" s="26" t="s">
        <v>1848</v>
      </c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</row>
    <row r="683" ht="15.75" customHeight="1">
      <c r="A683" s="26">
        <v>682.0</v>
      </c>
      <c r="B683" s="17">
        <v>46068.0</v>
      </c>
      <c r="C683" s="26" t="s">
        <v>2022</v>
      </c>
      <c r="D683" s="26"/>
      <c r="E683" s="26"/>
      <c r="F683" s="26" t="s">
        <v>39</v>
      </c>
      <c r="G683" s="27">
        <v>100.0</v>
      </c>
      <c r="H683" s="26"/>
      <c r="I683" s="26" t="s">
        <v>2023</v>
      </c>
      <c r="J683" s="26"/>
      <c r="K683" s="26" t="s">
        <v>45</v>
      </c>
      <c r="L683" s="26" t="s">
        <v>47</v>
      </c>
      <c r="M683" s="26" t="s">
        <v>61</v>
      </c>
      <c r="N683" s="26" t="s">
        <v>1848</v>
      </c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</row>
    <row r="684" ht="15.75" customHeight="1">
      <c r="A684" s="26">
        <v>683.0</v>
      </c>
      <c r="B684" s="17">
        <v>46068.0</v>
      </c>
      <c r="C684" s="26" t="s">
        <v>145</v>
      </c>
      <c r="D684" s="26"/>
      <c r="E684" s="26"/>
      <c r="F684" s="26" t="s">
        <v>39</v>
      </c>
      <c r="G684" s="27">
        <v>200.0</v>
      </c>
      <c r="H684" s="26"/>
      <c r="I684" s="26" t="s">
        <v>2024</v>
      </c>
      <c r="J684" s="26"/>
      <c r="K684" s="26" t="s">
        <v>45</v>
      </c>
      <c r="L684" s="26" t="s">
        <v>47</v>
      </c>
      <c r="M684" s="26" t="s">
        <v>61</v>
      </c>
      <c r="N684" s="26" t="s">
        <v>1848</v>
      </c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</row>
    <row r="685" ht="15.75" customHeight="1">
      <c r="A685" s="26">
        <v>684.0</v>
      </c>
      <c r="B685" s="17">
        <v>46068.0</v>
      </c>
      <c r="C685" s="26" t="s">
        <v>145</v>
      </c>
      <c r="D685" s="26"/>
      <c r="E685" s="26"/>
      <c r="F685" s="26" t="s">
        <v>39</v>
      </c>
      <c r="G685" s="27">
        <v>500.0</v>
      </c>
      <c r="H685" s="26"/>
      <c r="I685" s="26" t="s">
        <v>2025</v>
      </c>
      <c r="J685" s="26"/>
      <c r="K685" s="26" t="s">
        <v>45</v>
      </c>
      <c r="L685" s="26" t="s">
        <v>47</v>
      </c>
      <c r="M685" s="26" t="s">
        <v>61</v>
      </c>
      <c r="N685" s="26" t="s">
        <v>1848</v>
      </c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</row>
    <row r="686" ht="15.75" customHeight="1">
      <c r="A686" s="26">
        <v>685.0</v>
      </c>
      <c r="B686" s="17">
        <v>46068.0</v>
      </c>
      <c r="C686" s="26" t="s">
        <v>2026</v>
      </c>
      <c r="D686" s="26"/>
      <c r="E686" s="26"/>
      <c r="F686" s="26" t="s">
        <v>39</v>
      </c>
      <c r="G686" s="27">
        <v>500.0</v>
      </c>
      <c r="H686" s="26"/>
      <c r="I686" s="26" t="s">
        <v>2027</v>
      </c>
      <c r="J686" s="26"/>
      <c r="K686" s="26" t="s">
        <v>45</v>
      </c>
      <c r="L686" s="26" t="s">
        <v>47</v>
      </c>
      <c r="M686" s="26" t="s">
        <v>61</v>
      </c>
      <c r="N686" s="26" t="s">
        <v>1848</v>
      </c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</row>
    <row r="687" ht="15.75" customHeight="1">
      <c r="A687" s="26">
        <v>686.0</v>
      </c>
      <c r="B687" s="17">
        <v>46068.0</v>
      </c>
      <c r="C687" s="26" t="s">
        <v>145</v>
      </c>
      <c r="D687" s="26"/>
      <c r="E687" s="26"/>
      <c r="F687" s="26" t="s">
        <v>39</v>
      </c>
      <c r="G687" s="27">
        <v>100.0</v>
      </c>
      <c r="H687" s="26"/>
      <c r="I687" s="26" t="s">
        <v>2028</v>
      </c>
      <c r="J687" s="26"/>
      <c r="K687" s="26" t="s">
        <v>45</v>
      </c>
      <c r="L687" s="26" t="s">
        <v>47</v>
      </c>
      <c r="M687" s="26" t="s">
        <v>61</v>
      </c>
      <c r="N687" s="26" t="s">
        <v>1848</v>
      </c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</row>
    <row r="688" ht="15.75" customHeight="1">
      <c r="A688" s="26">
        <v>687.0</v>
      </c>
      <c r="B688" s="17">
        <v>46068.0</v>
      </c>
      <c r="C688" s="26" t="s">
        <v>2029</v>
      </c>
      <c r="D688" s="26"/>
      <c r="E688" s="26"/>
      <c r="F688" s="26" t="s">
        <v>39</v>
      </c>
      <c r="G688" s="27">
        <v>501.0</v>
      </c>
      <c r="H688" s="26"/>
      <c r="I688" s="26" t="s">
        <v>2030</v>
      </c>
      <c r="J688" s="26"/>
      <c r="K688" s="26" t="s">
        <v>45</v>
      </c>
      <c r="L688" s="26" t="s">
        <v>47</v>
      </c>
      <c r="M688" s="26" t="s">
        <v>61</v>
      </c>
      <c r="N688" s="26" t="s">
        <v>1848</v>
      </c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</row>
    <row r="689" ht="15.75" customHeight="1">
      <c r="A689" s="26">
        <v>688.0</v>
      </c>
      <c r="B689" s="17">
        <v>46068.0</v>
      </c>
      <c r="C689" s="26" t="s">
        <v>2031</v>
      </c>
      <c r="D689" s="26"/>
      <c r="E689" s="26"/>
      <c r="F689" s="26" t="s">
        <v>39</v>
      </c>
      <c r="G689" s="27">
        <v>200.0</v>
      </c>
      <c r="H689" s="26"/>
      <c r="I689" s="26" t="s">
        <v>2032</v>
      </c>
      <c r="J689" s="26"/>
      <c r="K689" s="26" t="s">
        <v>45</v>
      </c>
      <c r="L689" s="26" t="s">
        <v>47</v>
      </c>
      <c r="M689" s="26" t="s">
        <v>61</v>
      </c>
      <c r="N689" s="26" t="s">
        <v>1848</v>
      </c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</row>
    <row r="690" ht="15.75" customHeight="1">
      <c r="A690" s="26">
        <v>689.0</v>
      </c>
      <c r="B690" s="17">
        <v>46068.0</v>
      </c>
      <c r="C690" s="26" t="s">
        <v>2033</v>
      </c>
      <c r="D690" s="26"/>
      <c r="E690" s="26"/>
      <c r="F690" s="26" t="s">
        <v>39</v>
      </c>
      <c r="G690" s="27">
        <v>500.0</v>
      </c>
      <c r="H690" s="26"/>
      <c r="I690" s="26" t="s">
        <v>2034</v>
      </c>
      <c r="J690" s="26"/>
      <c r="K690" s="26" t="s">
        <v>45</v>
      </c>
      <c r="L690" s="26" t="s">
        <v>47</v>
      </c>
      <c r="M690" s="26" t="s">
        <v>61</v>
      </c>
      <c r="N690" s="26" t="s">
        <v>1848</v>
      </c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</row>
    <row r="691" ht="15.75" customHeight="1">
      <c r="A691" s="26">
        <v>690.0</v>
      </c>
      <c r="B691" s="17">
        <v>46068.0</v>
      </c>
      <c r="C691" s="26" t="s">
        <v>2035</v>
      </c>
      <c r="D691" s="26"/>
      <c r="E691" s="26"/>
      <c r="F691" s="26" t="s">
        <v>39</v>
      </c>
      <c r="G691" s="27">
        <v>500.0</v>
      </c>
      <c r="H691" s="26"/>
      <c r="I691" s="26" t="s">
        <v>2036</v>
      </c>
      <c r="J691" s="26"/>
      <c r="K691" s="26" t="s">
        <v>45</v>
      </c>
      <c r="L691" s="26" t="s">
        <v>47</v>
      </c>
      <c r="M691" s="26" t="s">
        <v>61</v>
      </c>
      <c r="N691" s="26" t="s">
        <v>1848</v>
      </c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</row>
    <row r="692" ht="15.75" customHeight="1">
      <c r="A692" s="26">
        <v>691.0</v>
      </c>
      <c r="B692" s="17">
        <v>46068.0</v>
      </c>
      <c r="C692" s="26" t="s">
        <v>145</v>
      </c>
      <c r="D692" s="26"/>
      <c r="E692" s="26"/>
      <c r="F692" s="26" t="s">
        <v>39</v>
      </c>
      <c r="G692" s="27">
        <v>200.0</v>
      </c>
      <c r="H692" s="26"/>
      <c r="I692" s="26" t="s">
        <v>2037</v>
      </c>
      <c r="J692" s="26"/>
      <c r="K692" s="26" t="s">
        <v>45</v>
      </c>
      <c r="L692" s="26" t="s">
        <v>47</v>
      </c>
      <c r="M692" s="26" t="s">
        <v>61</v>
      </c>
      <c r="N692" s="26" t="s">
        <v>1848</v>
      </c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</row>
    <row r="693" ht="15.75" customHeight="1">
      <c r="A693" s="26">
        <v>692.0</v>
      </c>
      <c r="B693" s="17">
        <v>46068.0</v>
      </c>
      <c r="C693" s="26" t="s">
        <v>1858</v>
      </c>
      <c r="D693" s="26"/>
      <c r="E693" s="26"/>
      <c r="F693" s="26" t="s">
        <v>39</v>
      </c>
      <c r="G693" s="27">
        <v>500.0</v>
      </c>
      <c r="H693" s="26"/>
      <c r="I693" s="26" t="s">
        <v>2038</v>
      </c>
      <c r="J693" s="26"/>
      <c r="K693" s="26" t="s">
        <v>45</v>
      </c>
      <c r="L693" s="26" t="s">
        <v>47</v>
      </c>
      <c r="M693" s="26" t="s">
        <v>61</v>
      </c>
      <c r="N693" s="26" t="s">
        <v>1848</v>
      </c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</row>
    <row r="694" ht="15.75" customHeight="1">
      <c r="A694" s="26">
        <v>693.0</v>
      </c>
      <c r="B694" s="17">
        <v>46068.0</v>
      </c>
      <c r="C694" s="26" t="s">
        <v>2039</v>
      </c>
      <c r="D694" s="26"/>
      <c r="E694" s="26"/>
      <c r="F694" s="26" t="s">
        <v>39</v>
      </c>
      <c r="G694" s="27">
        <v>500.0</v>
      </c>
      <c r="H694" s="26"/>
      <c r="I694" s="26" t="s">
        <v>2040</v>
      </c>
      <c r="J694" s="26"/>
      <c r="K694" s="26" t="s">
        <v>45</v>
      </c>
      <c r="L694" s="26" t="s">
        <v>47</v>
      </c>
      <c r="M694" s="26" t="s">
        <v>61</v>
      </c>
      <c r="N694" s="26" t="s">
        <v>1848</v>
      </c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</row>
    <row r="695" ht="15.75" customHeight="1">
      <c r="A695" s="26">
        <v>694.0</v>
      </c>
      <c r="B695" s="17">
        <v>46068.0</v>
      </c>
      <c r="C695" s="26" t="s">
        <v>2041</v>
      </c>
      <c r="D695" s="26"/>
      <c r="E695" s="26"/>
      <c r="F695" s="26" t="s">
        <v>39</v>
      </c>
      <c r="G695" s="27">
        <v>501.0</v>
      </c>
      <c r="H695" s="26"/>
      <c r="I695" s="26" t="s">
        <v>2042</v>
      </c>
      <c r="J695" s="26"/>
      <c r="K695" s="26" t="s">
        <v>45</v>
      </c>
      <c r="L695" s="26" t="s">
        <v>47</v>
      </c>
      <c r="M695" s="26" t="s">
        <v>61</v>
      </c>
      <c r="N695" s="26" t="s">
        <v>1848</v>
      </c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</row>
    <row r="696" ht="15.75" customHeight="1">
      <c r="A696" s="26">
        <v>695.0</v>
      </c>
      <c r="B696" s="17">
        <v>46068.0</v>
      </c>
      <c r="C696" s="26" t="s">
        <v>2043</v>
      </c>
      <c r="D696" s="26"/>
      <c r="E696" s="26"/>
      <c r="F696" s="26" t="s">
        <v>39</v>
      </c>
      <c r="G696" s="27">
        <v>500.0</v>
      </c>
      <c r="H696" s="26"/>
      <c r="I696" s="26" t="s">
        <v>2044</v>
      </c>
      <c r="J696" s="26"/>
      <c r="K696" s="26" t="s">
        <v>45</v>
      </c>
      <c r="L696" s="26" t="s">
        <v>47</v>
      </c>
      <c r="M696" s="26" t="s">
        <v>61</v>
      </c>
      <c r="N696" s="26" t="s">
        <v>1848</v>
      </c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</row>
    <row r="697" ht="15.75" customHeight="1">
      <c r="A697" s="26">
        <v>696.0</v>
      </c>
      <c r="B697" s="17">
        <v>46068.0</v>
      </c>
      <c r="C697" s="26" t="s">
        <v>2045</v>
      </c>
      <c r="D697" s="26"/>
      <c r="E697" s="26"/>
      <c r="F697" s="26" t="s">
        <v>39</v>
      </c>
      <c r="G697" s="27">
        <v>1100.0</v>
      </c>
      <c r="H697" s="26"/>
      <c r="I697" s="26" t="s">
        <v>2046</v>
      </c>
      <c r="J697" s="26"/>
      <c r="K697" s="26" t="s">
        <v>45</v>
      </c>
      <c r="L697" s="26" t="s">
        <v>47</v>
      </c>
      <c r="M697" s="26" t="s">
        <v>61</v>
      </c>
      <c r="N697" s="26" t="s">
        <v>1848</v>
      </c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</row>
    <row r="698" ht="15.75" customHeight="1">
      <c r="A698" s="26">
        <v>697.0</v>
      </c>
      <c r="B698" s="17">
        <v>46068.0</v>
      </c>
      <c r="C698" s="26" t="s">
        <v>2047</v>
      </c>
      <c r="D698" s="26"/>
      <c r="E698" s="26"/>
      <c r="F698" s="26" t="s">
        <v>39</v>
      </c>
      <c r="G698" s="27">
        <v>1100.0</v>
      </c>
      <c r="H698" s="26"/>
      <c r="I698" s="26" t="s">
        <v>2048</v>
      </c>
      <c r="J698" s="26"/>
      <c r="K698" s="26" t="s">
        <v>45</v>
      </c>
      <c r="L698" s="26" t="s">
        <v>47</v>
      </c>
      <c r="M698" s="26" t="s">
        <v>61</v>
      </c>
      <c r="N698" s="26" t="s">
        <v>1848</v>
      </c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</row>
    <row r="699" ht="15.75" customHeight="1">
      <c r="A699" s="26">
        <v>698.0</v>
      </c>
      <c r="B699" s="17">
        <v>46068.0</v>
      </c>
      <c r="C699" s="26" t="s">
        <v>1105</v>
      </c>
      <c r="D699" s="26"/>
      <c r="E699" s="26"/>
      <c r="F699" s="26" t="s">
        <v>39</v>
      </c>
      <c r="G699" s="27">
        <v>500.0</v>
      </c>
      <c r="H699" s="26"/>
      <c r="I699" s="26" t="s">
        <v>2049</v>
      </c>
      <c r="J699" s="26"/>
      <c r="K699" s="26" t="s">
        <v>45</v>
      </c>
      <c r="L699" s="26" t="s">
        <v>47</v>
      </c>
      <c r="M699" s="26" t="s">
        <v>61</v>
      </c>
      <c r="N699" s="26" t="s">
        <v>1848</v>
      </c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</row>
    <row r="700" ht="15.75" customHeight="1">
      <c r="A700" s="26">
        <v>699.0</v>
      </c>
      <c r="B700" s="17">
        <v>46068.0</v>
      </c>
      <c r="C700" s="26" t="s">
        <v>2050</v>
      </c>
      <c r="D700" s="26"/>
      <c r="E700" s="26"/>
      <c r="F700" s="26" t="s">
        <v>39</v>
      </c>
      <c r="G700" s="27">
        <v>1100.0</v>
      </c>
      <c r="H700" s="26"/>
      <c r="I700" s="26" t="s">
        <v>2051</v>
      </c>
      <c r="J700" s="26"/>
      <c r="K700" s="26" t="s">
        <v>45</v>
      </c>
      <c r="L700" s="26" t="s">
        <v>47</v>
      </c>
      <c r="M700" s="26" t="s">
        <v>61</v>
      </c>
      <c r="N700" s="26" t="s">
        <v>1848</v>
      </c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</row>
    <row r="701" ht="15.75" customHeight="1">
      <c r="A701" s="26">
        <v>700.0</v>
      </c>
      <c r="B701" s="17">
        <v>46068.0</v>
      </c>
      <c r="C701" s="26" t="s">
        <v>2052</v>
      </c>
      <c r="D701" s="26"/>
      <c r="E701" s="26"/>
      <c r="F701" s="26" t="s">
        <v>39</v>
      </c>
      <c r="G701" s="27">
        <v>500.0</v>
      </c>
      <c r="H701" s="26"/>
      <c r="I701" s="26" t="s">
        <v>2053</v>
      </c>
      <c r="J701" s="26"/>
      <c r="K701" s="26" t="s">
        <v>45</v>
      </c>
      <c r="L701" s="26" t="s">
        <v>47</v>
      </c>
      <c r="M701" s="26" t="s">
        <v>61</v>
      </c>
      <c r="N701" s="26" t="s">
        <v>1848</v>
      </c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</row>
    <row r="702" ht="15.75" customHeight="1">
      <c r="A702" s="26">
        <v>701.0</v>
      </c>
      <c r="B702" s="17">
        <v>46068.0</v>
      </c>
      <c r="C702" s="26" t="s">
        <v>2054</v>
      </c>
      <c r="D702" s="26"/>
      <c r="E702" s="26"/>
      <c r="F702" s="26" t="s">
        <v>39</v>
      </c>
      <c r="G702" s="27">
        <v>500.0</v>
      </c>
      <c r="H702" s="26"/>
      <c r="I702" s="26" t="s">
        <v>2055</v>
      </c>
      <c r="J702" s="26"/>
      <c r="K702" s="26" t="s">
        <v>45</v>
      </c>
      <c r="L702" s="26" t="s">
        <v>47</v>
      </c>
      <c r="M702" s="26" t="s">
        <v>61</v>
      </c>
      <c r="N702" s="26" t="s">
        <v>1848</v>
      </c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</row>
    <row r="703" ht="15.75" customHeight="1">
      <c r="A703" s="26">
        <v>702.0</v>
      </c>
      <c r="B703" s="17">
        <v>46068.0</v>
      </c>
      <c r="C703" s="26" t="s">
        <v>2056</v>
      </c>
      <c r="D703" s="26"/>
      <c r="E703" s="26"/>
      <c r="F703" s="26" t="s">
        <v>39</v>
      </c>
      <c r="G703" s="27">
        <v>101.0</v>
      </c>
      <c r="H703" s="26"/>
      <c r="I703" s="26" t="s">
        <v>2057</v>
      </c>
      <c r="J703" s="26"/>
      <c r="K703" s="26" t="s">
        <v>45</v>
      </c>
      <c r="L703" s="26" t="s">
        <v>47</v>
      </c>
      <c r="M703" s="26" t="s">
        <v>61</v>
      </c>
      <c r="N703" s="26" t="s">
        <v>1848</v>
      </c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</row>
    <row r="704" ht="15.75" customHeight="1">
      <c r="A704" s="26">
        <v>703.0</v>
      </c>
      <c r="B704" s="17">
        <v>46068.0</v>
      </c>
      <c r="C704" s="26" t="s">
        <v>2058</v>
      </c>
      <c r="D704" s="26"/>
      <c r="E704" s="26"/>
      <c r="F704" s="26" t="s">
        <v>39</v>
      </c>
      <c r="G704" s="27">
        <v>1100.0</v>
      </c>
      <c r="H704" s="26"/>
      <c r="I704" s="26" t="s">
        <v>2059</v>
      </c>
      <c r="J704" s="26"/>
      <c r="K704" s="26" t="s">
        <v>45</v>
      </c>
      <c r="L704" s="26" t="s">
        <v>47</v>
      </c>
      <c r="M704" s="26" t="s">
        <v>61</v>
      </c>
      <c r="N704" s="26" t="s">
        <v>1848</v>
      </c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</row>
    <row r="705" ht="15.75" customHeight="1">
      <c r="A705" s="26">
        <v>704.0</v>
      </c>
      <c r="B705" s="17">
        <v>46068.0</v>
      </c>
      <c r="C705" s="26" t="s">
        <v>1921</v>
      </c>
      <c r="D705" s="26"/>
      <c r="E705" s="26"/>
      <c r="F705" s="26" t="s">
        <v>39</v>
      </c>
      <c r="G705" s="27">
        <v>500.0</v>
      </c>
      <c r="H705" s="26"/>
      <c r="I705" s="26" t="s">
        <v>2060</v>
      </c>
      <c r="J705" s="26"/>
      <c r="K705" s="26" t="s">
        <v>45</v>
      </c>
      <c r="L705" s="26" t="s">
        <v>47</v>
      </c>
      <c r="M705" s="26" t="s">
        <v>61</v>
      </c>
      <c r="N705" s="26" t="s">
        <v>1848</v>
      </c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</row>
    <row r="706" ht="15.75" customHeight="1">
      <c r="A706" s="26">
        <v>705.0</v>
      </c>
      <c r="B706" s="17">
        <v>46068.0</v>
      </c>
      <c r="C706" s="26" t="s">
        <v>145</v>
      </c>
      <c r="D706" s="26"/>
      <c r="E706" s="26"/>
      <c r="F706" s="26" t="s">
        <v>39</v>
      </c>
      <c r="G706" s="27">
        <v>100.0</v>
      </c>
      <c r="H706" s="26"/>
      <c r="I706" s="26" t="s">
        <v>2061</v>
      </c>
      <c r="J706" s="26"/>
      <c r="K706" s="26" t="s">
        <v>45</v>
      </c>
      <c r="L706" s="26" t="s">
        <v>47</v>
      </c>
      <c r="M706" s="26" t="s">
        <v>61</v>
      </c>
      <c r="N706" s="26" t="s">
        <v>1848</v>
      </c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</row>
    <row r="707" ht="15.75" customHeight="1">
      <c r="A707" s="26">
        <v>706.0</v>
      </c>
      <c r="B707" s="17">
        <v>46068.0</v>
      </c>
      <c r="C707" s="26" t="s">
        <v>145</v>
      </c>
      <c r="D707" s="26"/>
      <c r="E707" s="26"/>
      <c r="F707" s="26" t="s">
        <v>39</v>
      </c>
      <c r="G707" s="27">
        <v>200.0</v>
      </c>
      <c r="H707" s="26"/>
      <c r="I707" s="26" t="s">
        <v>2062</v>
      </c>
      <c r="J707" s="26"/>
      <c r="K707" s="26" t="s">
        <v>45</v>
      </c>
      <c r="L707" s="26" t="s">
        <v>47</v>
      </c>
      <c r="M707" s="26" t="s">
        <v>61</v>
      </c>
      <c r="N707" s="26" t="s">
        <v>1848</v>
      </c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</row>
    <row r="708" ht="15.75" customHeight="1">
      <c r="A708" s="26">
        <v>707.0</v>
      </c>
      <c r="B708" s="17">
        <v>46068.0</v>
      </c>
      <c r="C708" s="26" t="s">
        <v>2063</v>
      </c>
      <c r="D708" s="26"/>
      <c r="E708" s="26"/>
      <c r="F708" s="26" t="s">
        <v>39</v>
      </c>
      <c r="G708" s="27">
        <v>200.0</v>
      </c>
      <c r="H708" s="26"/>
      <c r="I708" s="26" t="s">
        <v>2064</v>
      </c>
      <c r="J708" s="26"/>
      <c r="K708" s="26" t="s">
        <v>45</v>
      </c>
      <c r="L708" s="26" t="s">
        <v>47</v>
      </c>
      <c r="M708" s="26" t="s">
        <v>61</v>
      </c>
      <c r="N708" s="26" t="s">
        <v>1848</v>
      </c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</row>
    <row r="709" ht="15.75" customHeight="1">
      <c r="A709" s="26">
        <v>708.0</v>
      </c>
      <c r="B709" s="17">
        <v>46068.0</v>
      </c>
      <c r="C709" s="26" t="s">
        <v>2065</v>
      </c>
      <c r="D709" s="26"/>
      <c r="E709" s="26"/>
      <c r="F709" s="26" t="s">
        <v>39</v>
      </c>
      <c r="G709" s="27">
        <v>500.0</v>
      </c>
      <c r="H709" s="26"/>
      <c r="I709" s="26" t="s">
        <v>2066</v>
      </c>
      <c r="J709" s="26"/>
      <c r="K709" s="26" t="s">
        <v>45</v>
      </c>
      <c r="L709" s="26" t="s">
        <v>47</v>
      </c>
      <c r="M709" s="26" t="s">
        <v>61</v>
      </c>
      <c r="N709" s="26" t="s">
        <v>1848</v>
      </c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</row>
    <row r="710" ht="15.75" customHeight="1">
      <c r="A710" s="26">
        <v>709.0</v>
      </c>
      <c r="B710" s="17">
        <v>46068.0</v>
      </c>
      <c r="C710" s="26" t="s">
        <v>2067</v>
      </c>
      <c r="D710" s="26"/>
      <c r="E710" s="26"/>
      <c r="F710" s="26" t="s">
        <v>39</v>
      </c>
      <c r="G710" s="27">
        <v>100.0</v>
      </c>
      <c r="H710" s="26"/>
      <c r="I710" s="26" t="s">
        <v>2068</v>
      </c>
      <c r="J710" s="26"/>
      <c r="K710" s="26" t="s">
        <v>45</v>
      </c>
      <c r="L710" s="26" t="s">
        <v>47</v>
      </c>
      <c r="M710" s="26" t="s">
        <v>61</v>
      </c>
      <c r="N710" s="26" t="s">
        <v>1848</v>
      </c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</row>
    <row r="711" ht="15.75" customHeight="1">
      <c r="A711" s="26">
        <v>710.0</v>
      </c>
      <c r="B711" s="17">
        <v>46068.0</v>
      </c>
      <c r="C711" s="26" t="s">
        <v>2069</v>
      </c>
      <c r="D711" s="26"/>
      <c r="E711" s="26"/>
      <c r="F711" s="26" t="s">
        <v>39</v>
      </c>
      <c r="G711" s="27">
        <v>108.0</v>
      </c>
      <c r="H711" s="26"/>
      <c r="I711" s="26" t="s">
        <v>2070</v>
      </c>
      <c r="J711" s="26"/>
      <c r="K711" s="26" t="s">
        <v>45</v>
      </c>
      <c r="L711" s="26" t="s">
        <v>47</v>
      </c>
      <c r="M711" s="26" t="s">
        <v>61</v>
      </c>
      <c r="N711" s="26" t="s">
        <v>1848</v>
      </c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</row>
    <row r="712" ht="15.75" customHeight="1">
      <c r="A712" s="26">
        <v>711.0</v>
      </c>
      <c r="B712" s="17">
        <v>46068.0</v>
      </c>
      <c r="C712" s="26" t="s">
        <v>2071</v>
      </c>
      <c r="D712" s="26"/>
      <c r="E712" s="26"/>
      <c r="F712" s="26" t="s">
        <v>39</v>
      </c>
      <c r="G712" s="27">
        <v>200.0</v>
      </c>
      <c r="H712" s="26"/>
      <c r="I712" s="26" t="s">
        <v>2072</v>
      </c>
      <c r="J712" s="26"/>
      <c r="K712" s="26" t="s">
        <v>45</v>
      </c>
      <c r="L712" s="26" t="s">
        <v>47</v>
      </c>
      <c r="M712" s="26" t="s">
        <v>61</v>
      </c>
      <c r="N712" s="26" t="s">
        <v>1848</v>
      </c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</row>
    <row r="713" ht="15.75" customHeight="1">
      <c r="A713" s="26">
        <v>712.0</v>
      </c>
      <c r="B713" s="17">
        <v>46068.0</v>
      </c>
      <c r="C713" s="26" t="s">
        <v>2073</v>
      </c>
      <c r="D713" s="26"/>
      <c r="E713" s="26"/>
      <c r="F713" s="26" t="s">
        <v>39</v>
      </c>
      <c r="G713" s="27">
        <v>501.0</v>
      </c>
      <c r="H713" s="26"/>
      <c r="I713" s="26" t="s">
        <v>2074</v>
      </c>
      <c r="J713" s="26"/>
      <c r="K713" s="26" t="s">
        <v>45</v>
      </c>
      <c r="L713" s="26" t="s">
        <v>47</v>
      </c>
      <c r="M713" s="26" t="s">
        <v>61</v>
      </c>
      <c r="N713" s="26" t="s">
        <v>1848</v>
      </c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</row>
    <row r="714" ht="15.75" customHeight="1">
      <c r="A714" s="26">
        <v>713.0</v>
      </c>
      <c r="B714" s="17">
        <v>46068.0</v>
      </c>
      <c r="C714" s="26" t="s">
        <v>145</v>
      </c>
      <c r="D714" s="26"/>
      <c r="E714" s="26"/>
      <c r="F714" s="26" t="s">
        <v>39</v>
      </c>
      <c r="G714" s="27">
        <v>200.0</v>
      </c>
      <c r="H714" s="26"/>
      <c r="I714" s="26" t="s">
        <v>2075</v>
      </c>
      <c r="J714" s="26"/>
      <c r="K714" s="26" t="s">
        <v>45</v>
      </c>
      <c r="L714" s="26" t="s">
        <v>47</v>
      </c>
      <c r="M714" s="26" t="s">
        <v>61</v>
      </c>
      <c r="N714" s="26" t="s">
        <v>1848</v>
      </c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</row>
    <row r="715" ht="15.75" customHeight="1">
      <c r="A715" s="26">
        <v>714.0</v>
      </c>
      <c r="B715" s="17">
        <v>46068.0</v>
      </c>
      <c r="C715" s="26" t="s">
        <v>2076</v>
      </c>
      <c r="D715" s="26"/>
      <c r="E715" s="26"/>
      <c r="F715" s="26" t="s">
        <v>39</v>
      </c>
      <c r="G715" s="27">
        <v>200.0</v>
      </c>
      <c r="H715" s="26"/>
      <c r="I715" s="26" t="s">
        <v>2077</v>
      </c>
      <c r="J715" s="26"/>
      <c r="K715" s="26" t="s">
        <v>45</v>
      </c>
      <c r="L715" s="26" t="s">
        <v>47</v>
      </c>
      <c r="M715" s="26" t="s">
        <v>61</v>
      </c>
      <c r="N715" s="26" t="s">
        <v>1848</v>
      </c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</row>
    <row r="716" ht="15.75" customHeight="1">
      <c r="A716" s="26">
        <v>715.0</v>
      </c>
      <c r="B716" s="17">
        <v>46068.0</v>
      </c>
      <c r="C716" s="26" t="s">
        <v>2078</v>
      </c>
      <c r="D716" s="26"/>
      <c r="E716" s="26"/>
      <c r="F716" s="26" t="s">
        <v>39</v>
      </c>
      <c r="G716" s="27">
        <v>200.0</v>
      </c>
      <c r="H716" s="26"/>
      <c r="I716" s="26" t="s">
        <v>2079</v>
      </c>
      <c r="J716" s="26"/>
      <c r="K716" s="26" t="s">
        <v>45</v>
      </c>
      <c r="L716" s="26" t="s">
        <v>47</v>
      </c>
      <c r="M716" s="26" t="s">
        <v>61</v>
      </c>
      <c r="N716" s="26" t="s">
        <v>1848</v>
      </c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</row>
    <row r="717" ht="15.75" customHeight="1">
      <c r="A717" s="26">
        <v>716.0</v>
      </c>
      <c r="B717" s="17">
        <v>46068.0</v>
      </c>
      <c r="C717" s="26" t="s">
        <v>2080</v>
      </c>
      <c r="D717" s="26"/>
      <c r="E717" s="26"/>
      <c r="F717" s="26" t="s">
        <v>39</v>
      </c>
      <c r="G717" s="27">
        <v>1000.0</v>
      </c>
      <c r="H717" s="26"/>
      <c r="I717" s="26" t="s">
        <v>2081</v>
      </c>
      <c r="J717" s="26"/>
      <c r="K717" s="26" t="s">
        <v>45</v>
      </c>
      <c r="L717" s="26" t="s">
        <v>47</v>
      </c>
      <c r="M717" s="26" t="s">
        <v>61</v>
      </c>
      <c r="N717" s="26" t="s">
        <v>1848</v>
      </c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</row>
    <row r="718" ht="15.75" customHeight="1">
      <c r="A718" s="26">
        <v>717.0</v>
      </c>
      <c r="B718" s="17">
        <v>46068.0</v>
      </c>
      <c r="C718" s="26" t="s">
        <v>145</v>
      </c>
      <c r="D718" s="26"/>
      <c r="E718" s="26"/>
      <c r="F718" s="26" t="s">
        <v>39</v>
      </c>
      <c r="G718" s="27">
        <v>2100.0</v>
      </c>
      <c r="H718" s="26"/>
      <c r="I718" s="26" t="s">
        <v>2082</v>
      </c>
      <c r="J718" s="26"/>
      <c r="K718" s="26" t="s">
        <v>45</v>
      </c>
      <c r="L718" s="26" t="s">
        <v>47</v>
      </c>
      <c r="M718" s="26" t="s">
        <v>61</v>
      </c>
      <c r="N718" s="26" t="s">
        <v>1848</v>
      </c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</row>
    <row r="719" ht="15.75" customHeight="1">
      <c r="A719" s="26">
        <v>718.0</v>
      </c>
      <c r="B719" s="17">
        <v>46068.0</v>
      </c>
      <c r="C719" s="26" t="s">
        <v>791</v>
      </c>
      <c r="D719" s="26"/>
      <c r="E719" s="26"/>
      <c r="F719" s="26" t="s">
        <v>39</v>
      </c>
      <c r="G719" s="27">
        <v>101.0</v>
      </c>
      <c r="H719" s="26"/>
      <c r="I719" s="26" t="s">
        <v>2083</v>
      </c>
      <c r="J719" s="26"/>
      <c r="K719" s="26" t="s">
        <v>45</v>
      </c>
      <c r="L719" s="26" t="s">
        <v>47</v>
      </c>
      <c r="M719" s="26" t="s">
        <v>61</v>
      </c>
      <c r="N719" s="26" t="s">
        <v>1848</v>
      </c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</row>
    <row r="720" ht="15.75" customHeight="1">
      <c r="A720" s="26">
        <v>719.0</v>
      </c>
      <c r="B720" s="17">
        <v>46068.0</v>
      </c>
      <c r="C720" s="26" t="s">
        <v>145</v>
      </c>
      <c r="D720" s="26"/>
      <c r="E720" s="26"/>
      <c r="F720" s="26" t="s">
        <v>39</v>
      </c>
      <c r="G720" s="27">
        <v>200.0</v>
      </c>
      <c r="H720" s="26"/>
      <c r="I720" s="26" t="s">
        <v>2084</v>
      </c>
      <c r="J720" s="26"/>
      <c r="K720" s="26" t="s">
        <v>45</v>
      </c>
      <c r="L720" s="26" t="s">
        <v>47</v>
      </c>
      <c r="M720" s="26" t="s">
        <v>61</v>
      </c>
      <c r="N720" s="26" t="s">
        <v>1848</v>
      </c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</row>
    <row r="721" ht="15.75" customHeight="1">
      <c r="A721" s="26">
        <v>720.0</v>
      </c>
      <c r="B721" s="17">
        <v>46068.0</v>
      </c>
      <c r="C721" s="26" t="s">
        <v>2085</v>
      </c>
      <c r="D721" s="26"/>
      <c r="E721" s="26" t="s">
        <v>2086</v>
      </c>
      <c r="F721" s="26" t="s">
        <v>39</v>
      </c>
      <c r="G721" s="27">
        <v>500.0</v>
      </c>
      <c r="H721" s="26"/>
      <c r="I721" s="26" t="s">
        <v>2087</v>
      </c>
      <c r="J721" s="26"/>
      <c r="K721" s="26" t="s">
        <v>45</v>
      </c>
      <c r="L721" s="26" t="s">
        <v>47</v>
      </c>
      <c r="M721" s="26" t="s">
        <v>61</v>
      </c>
      <c r="N721" s="26" t="s">
        <v>1848</v>
      </c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</row>
    <row r="722" ht="15.75" customHeight="1">
      <c r="A722" s="26">
        <v>721.0</v>
      </c>
      <c r="B722" s="17">
        <v>46068.0</v>
      </c>
      <c r="C722" s="26" t="s">
        <v>2088</v>
      </c>
      <c r="D722" s="26"/>
      <c r="E722" s="26"/>
      <c r="F722" s="26" t="s">
        <v>39</v>
      </c>
      <c r="G722" s="27">
        <v>13120.0</v>
      </c>
      <c r="H722" s="26"/>
      <c r="I722" s="26" t="s">
        <v>2089</v>
      </c>
      <c r="J722" s="26"/>
      <c r="K722" s="26" t="s">
        <v>45</v>
      </c>
      <c r="L722" s="26" t="s">
        <v>47</v>
      </c>
      <c r="M722" s="26" t="s">
        <v>61</v>
      </c>
      <c r="N722" s="26" t="s">
        <v>1848</v>
      </c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</row>
    <row r="723" ht="15.75" customHeight="1">
      <c r="A723" s="26">
        <v>722.0</v>
      </c>
      <c r="B723" s="17">
        <v>46068.0</v>
      </c>
      <c r="C723" s="26" t="s">
        <v>2090</v>
      </c>
      <c r="D723" s="26"/>
      <c r="E723" s="26"/>
      <c r="F723" s="26" t="s">
        <v>39</v>
      </c>
      <c r="G723" s="27">
        <v>29757.0</v>
      </c>
      <c r="H723" s="26"/>
      <c r="I723" s="26" t="s">
        <v>2091</v>
      </c>
      <c r="J723" s="26"/>
      <c r="K723" s="26" t="s">
        <v>45</v>
      </c>
      <c r="L723" s="26" t="s">
        <v>47</v>
      </c>
      <c r="M723" s="26" t="s">
        <v>61</v>
      </c>
      <c r="N723" s="26" t="s">
        <v>1848</v>
      </c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</row>
    <row r="724" ht="15.75" customHeight="1">
      <c r="A724" s="26">
        <v>723.0</v>
      </c>
      <c r="B724" s="17">
        <v>46081.0</v>
      </c>
      <c r="C724" s="26" t="s">
        <v>2092</v>
      </c>
      <c r="D724" s="26"/>
      <c r="E724" s="95"/>
      <c r="F724" s="26" t="s">
        <v>39</v>
      </c>
      <c r="G724" s="27">
        <v>5100.0</v>
      </c>
      <c r="H724" s="26"/>
      <c r="I724" s="26" t="s">
        <v>2093</v>
      </c>
      <c r="J724" s="26"/>
      <c r="K724" s="26" t="s">
        <v>45</v>
      </c>
      <c r="L724" s="26" t="s">
        <v>47</v>
      </c>
      <c r="M724" s="26" t="s">
        <v>61</v>
      </c>
      <c r="N724" s="26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</row>
    <row r="725" ht="15.75" customHeight="1">
      <c r="A725" s="26">
        <v>724.0</v>
      </c>
      <c r="B725" s="17">
        <v>46092.0</v>
      </c>
      <c r="C725" s="26" t="s">
        <v>2094</v>
      </c>
      <c r="D725" s="26"/>
      <c r="E725" s="26" t="s">
        <v>2095</v>
      </c>
      <c r="F725" s="26" t="s">
        <v>39</v>
      </c>
      <c r="G725" s="27">
        <v>501.0</v>
      </c>
      <c r="H725" s="26"/>
      <c r="I725" s="26" t="s">
        <v>2096</v>
      </c>
      <c r="J725" s="26"/>
      <c r="K725" s="26" t="s">
        <v>45</v>
      </c>
      <c r="L725" s="26" t="s">
        <v>47</v>
      </c>
      <c r="M725" s="26" t="s">
        <v>61</v>
      </c>
      <c r="N725" s="26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</row>
    <row r="726" ht="15.75" customHeight="1">
      <c r="A726" s="26">
        <v>725.0</v>
      </c>
      <c r="B726" s="17">
        <v>46099.0</v>
      </c>
      <c r="C726" s="26" t="s">
        <v>866</v>
      </c>
      <c r="D726" s="26"/>
      <c r="E726" s="26"/>
      <c r="F726" s="26" t="s">
        <v>39</v>
      </c>
      <c r="G726" s="27">
        <v>24484.0</v>
      </c>
      <c r="H726" s="26"/>
      <c r="I726" s="26" t="s">
        <v>2097</v>
      </c>
      <c r="J726" s="26"/>
      <c r="K726" s="26" t="s">
        <v>45</v>
      </c>
      <c r="L726" s="26" t="s">
        <v>47</v>
      </c>
      <c r="M726" s="26" t="s">
        <v>61</v>
      </c>
      <c r="N726" s="26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</row>
    <row r="727" ht="15.75" customHeight="1">
      <c r="A727" s="26">
        <v>726.0</v>
      </c>
      <c r="B727" s="17">
        <v>46102.0</v>
      </c>
      <c r="C727" s="26" t="s">
        <v>2098</v>
      </c>
      <c r="D727" s="26"/>
      <c r="E727" s="26" t="s">
        <v>2099</v>
      </c>
      <c r="F727" s="26" t="s">
        <v>39</v>
      </c>
      <c r="G727" s="27">
        <v>1100.0</v>
      </c>
      <c r="H727" s="26"/>
      <c r="I727" s="26" t="s">
        <v>2100</v>
      </c>
      <c r="J727" s="26"/>
      <c r="K727" s="26" t="s">
        <v>45</v>
      </c>
      <c r="L727" s="26" t="s">
        <v>47</v>
      </c>
      <c r="M727" s="26" t="s">
        <v>61</v>
      </c>
      <c r="N727" s="26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</row>
    <row r="728" ht="15.75" customHeight="1">
      <c r="A728" s="26">
        <v>727.0</v>
      </c>
      <c r="B728" s="17">
        <v>46102.0</v>
      </c>
      <c r="C728" s="26" t="s">
        <v>2101</v>
      </c>
      <c r="D728" s="26"/>
      <c r="E728" s="26" t="s">
        <v>2102</v>
      </c>
      <c r="F728" s="26" t="s">
        <v>39</v>
      </c>
      <c r="G728" s="27">
        <v>11000.0</v>
      </c>
      <c r="H728" s="26"/>
      <c r="I728" s="26" t="s">
        <v>2103</v>
      </c>
      <c r="J728" s="26"/>
      <c r="K728" s="26" t="s">
        <v>45</v>
      </c>
      <c r="L728" s="26" t="s">
        <v>47</v>
      </c>
      <c r="M728" s="26" t="s">
        <v>61</v>
      </c>
      <c r="N728" s="26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</row>
    <row r="729" ht="15.75" customHeight="1">
      <c r="A729" s="26">
        <v>728.0</v>
      </c>
      <c r="B729" s="17">
        <v>46108.0</v>
      </c>
      <c r="C729" s="26" t="s">
        <v>2104</v>
      </c>
      <c r="D729" s="26"/>
      <c r="E729" s="26" t="s">
        <v>1816</v>
      </c>
      <c r="F729" s="26" t="s">
        <v>39</v>
      </c>
      <c r="G729" s="27">
        <v>500.0</v>
      </c>
      <c r="H729" s="26"/>
      <c r="I729" s="26" t="s">
        <v>2105</v>
      </c>
      <c r="J729" s="26"/>
      <c r="K729" s="26" t="s">
        <v>45</v>
      </c>
      <c r="L729" s="26" t="s">
        <v>47</v>
      </c>
      <c r="M729" s="26" t="s">
        <v>61</v>
      </c>
      <c r="N729" s="26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</row>
    <row r="730" ht="15.75" customHeight="1">
      <c r="A730" s="26">
        <v>729.0</v>
      </c>
      <c r="B730" s="17">
        <v>46107.0</v>
      </c>
      <c r="C730" s="26" t="s">
        <v>1627</v>
      </c>
      <c r="D730" s="26"/>
      <c r="E730" s="26" t="s">
        <v>1348</v>
      </c>
      <c r="F730" s="26" t="s">
        <v>39</v>
      </c>
      <c r="G730" s="27">
        <v>500.0</v>
      </c>
      <c r="H730" s="26"/>
      <c r="I730" s="26" t="s">
        <v>2106</v>
      </c>
      <c r="J730" s="26"/>
      <c r="K730" s="26" t="s">
        <v>45</v>
      </c>
      <c r="L730" s="26" t="s">
        <v>47</v>
      </c>
      <c r="M730" s="26" t="s">
        <v>61</v>
      </c>
      <c r="N730" s="26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</row>
    <row r="731" ht="15.75" customHeight="1">
      <c r="A731" s="26">
        <v>730.0</v>
      </c>
      <c r="B731" s="17">
        <v>46108.0</v>
      </c>
      <c r="C731" s="26" t="s">
        <v>2107</v>
      </c>
      <c r="D731" s="26"/>
      <c r="E731" s="26" t="s">
        <v>2108</v>
      </c>
      <c r="F731" s="26" t="s">
        <v>39</v>
      </c>
      <c r="G731" s="27">
        <v>1100.0</v>
      </c>
      <c r="H731" s="26"/>
      <c r="I731" s="26" t="s">
        <v>2109</v>
      </c>
      <c r="J731" s="26"/>
      <c r="K731" s="26" t="s">
        <v>45</v>
      </c>
      <c r="L731" s="26" t="s">
        <v>47</v>
      </c>
      <c r="M731" s="26" t="s">
        <v>61</v>
      </c>
      <c r="N731" s="26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</row>
    <row r="732" ht="15.75" customHeight="1">
      <c r="A732" s="26">
        <v>731.0</v>
      </c>
      <c r="B732" s="17">
        <v>46110.0</v>
      </c>
      <c r="C732" s="26" t="s">
        <v>145</v>
      </c>
      <c r="D732" s="26"/>
      <c r="E732" s="26"/>
      <c r="F732" s="26" t="s">
        <v>39</v>
      </c>
      <c r="G732" s="27">
        <v>300.0</v>
      </c>
      <c r="H732" s="26"/>
      <c r="I732" s="26" t="s">
        <v>2110</v>
      </c>
      <c r="J732" s="26"/>
      <c r="K732" s="26" t="s">
        <v>45</v>
      </c>
      <c r="L732" s="26" t="s">
        <v>47</v>
      </c>
      <c r="M732" s="26" t="s">
        <v>61</v>
      </c>
      <c r="N732" s="26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</row>
    <row r="733" ht="15.75" customHeight="1">
      <c r="A733" s="26">
        <v>732.0</v>
      </c>
      <c r="B733" s="17">
        <v>46110.0</v>
      </c>
      <c r="C733" s="26" t="s">
        <v>442</v>
      </c>
      <c r="D733" s="26"/>
      <c r="E733" s="26"/>
      <c r="F733" s="26" t="s">
        <v>39</v>
      </c>
      <c r="G733" s="27">
        <v>1100.0</v>
      </c>
      <c r="H733" s="26"/>
      <c r="I733" s="26" t="s">
        <v>2111</v>
      </c>
      <c r="J733" s="26"/>
      <c r="K733" s="26" t="s">
        <v>45</v>
      </c>
      <c r="L733" s="26" t="s">
        <v>47</v>
      </c>
      <c r="M733" s="26" t="s">
        <v>61</v>
      </c>
      <c r="N733" s="26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</row>
    <row r="734" ht="15.75" customHeight="1">
      <c r="A734" s="26">
        <v>733.0</v>
      </c>
      <c r="B734" s="17">
        <v>46110.0</v>
      </c>
      <c r="C734" s="26" t="s">
        <v>1210</v>
      </c>
      <c r="D734" s="26"/>
      <c r="E734" s="26"/>
      <c r="F734" s="26" t="s">
        <v>39</v>
      </c>
      <c r="G734" s="27">
        <v>500.0</v>
      </c>
      <c r="H734" s="26"/>
      <c r="I734" s="26" t="s">
        <v>2112</v>
      </c>
      <c r="J734" s="26"/>
      <c r="K734" s="26" t="s">
        <v>45</v>
      </c>
      <c r="L734" s="26" t="s">
        <v>47</v>
      </c>
      <c r="M734" s="26" t="s">
        <v>61</v>
      </c>
      <c r="N734" s="26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</row>
    <row r="735" ht="15.75" customHeight="1">
      <c r="A735" s="26">
        <v>734.0</v>
      </c>
      <c r="B735" s="17">
        <v>46110.0</v>
      </c>
      <c r="C735" s="26" t="s">
        <v>2113</v>
      </c>
      <c r="D735" s="26"/>
      <c r="E735" s="26"/>
      <c r="F735" s="26" t="s">
        <v>39</v>
      </c>
      <c r="G735" s="27">
        <v>2100.0</v>
      </c>
      <c r="H735" s="26"/>
      <c r="I735" s="26" t="s">
        <v>2114</v>
      </c>
      <c r="J735" s="26"/>
      <c r="K735" s="26" t="s">
        <v>45</v>
      </c>
      <c r="L735" s="26" t="s">
        <v>47</v>
      </c>
      <c r="M735" s="26" t="s">
        <v>61</v>
      </c>
      <c r="N735" s="26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</row>
    <row r="736" ht="15.75" customHeight="1">
      <c r="A736" s="26">
        <v>735.0</v>
      </c>
      <c r="B736" s="17">
        <v>46110.0</v>
      </c>
      <c r="C736" s="26" t="s">
        <v>1214</v>
      </c>
      <c r="D736" s="26"/>
      <c r="E736" s="26"/>
      <c r="F736" s="26" t="s">
        <v>39</v>
      </c>
      <c r="G736" s="27">
        <v>500.0</v>
      </c>
      <c r="H736" s="26"/>
      <c r="I736" s="26" t="s">
        <v>2115</v>
      </c>
      <c r="J736" s="26"/>
      <c r="K736" s="26" t="s">
        <v>45</v>
      </c>
      <c r="L736" s="26" t="s">
        <v>47</v>
      </c>
      <c r="M736" s="26" t="s">
        <v>61</v>
      </c>
      <c r="N736" s="26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</row>
    <row r="737" ht="15.75" customHeight="1">
      <c r="A737" s="26">
        <v>736.0</v>
      </c>
      <c r="B737" s="17">
        <v>46110.0</v>
      </c>
      <c r="C737" s="26" t="s">
        <v>2116</v>
      </c>
      <c r="D737" s="26"/>
      <c r="E737" s="26"/>
      <c r="F737" s="26" t="s">
        <v>39</v>
      </c>
      <c r="G737" s="27">
        <v>500.0</v>
      </c>
      <c r="H737" s="26"/>
      <c r="I737" s="26" t="s">
        <v>2117</v>
      </c>
      <c r="J737" s="26"/>
      <c r="K737" s="26" t="s">
        <v>45</v>
      </c>
      <c r="L737" s="26" t="s">
        <v>47</v>
      </c>
      <c r="M737" s="26" t="s">
        <v>61</v>
      </c>
      <c r="N737" s="26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</row>
    <row r="738" ht="15.75" customHeight="1">
      <c r="A738" s="26">
        <v>737.0</v>
      </c>
      <c r="B738" s="17">
        <v>46110.0</v>
      </c>
      <c r="C738" s="26" t="s">
        <v>1617</v>
      </c>
      <c r="D738" s="26"/>
      <c r="E738" s="26"/>
      <c r="F738" s="26" t="s">
        <v>39</v>
      </c>
      <c r="G738" s="27">
        <v>1100.0</v>
      </c>
      <c r="H738" s="26"/>
      <c r="I738" s="26" t="s">
        <v>2118</v>
      </c>
      <c r="J738" s="26"/>
      <c r="K738" s="26" t="s">
        <v>45</v>
      </c>
      <c r="L738" s="26" t="s">
        <v>47</v>
      </c>
      <c r="M738" s="26" t="s">
        <v>61</v>
      </c>
      <c r="N738" s="26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</row>
    <row r="739" ht="15.75" customHeight="1">
      <c r="A739" s="26">
        <v>738.0</v>
      </c>
      <c r="B739" s="17">
        <v>46110.0</v>
      </c>
      <c r="C739" s="26" t="s">
        <v>2119</v>
      </c>
      <c r="D739" s="26"/>
      <c r="E739" s="26" t="s">
        <v>2120</v>
      </c>
      <c r="F739" s="26" t="s">
        <v>39</v>
      </c>
      <c r="G739" s="27">
        <v>100.0</v>
      </c>
      <c r="H739" s="26"/>
      <c r="I739" s="26" t="s">
        <v>2121</v>
      </c>
      <c r="J739" s="26"/>
      <c r="K739" s="26" t="s">
        <v>45</v>
      </c>
      <c r="L739" s="26" t="s">
        <v>47</v>
      </c>
      <c r="M739" s="26" t="s">
        <v>61</v>
      </c>
      <c r="N739" s="26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</row>
    <row r="740" ht="15.75" customHeight="1">
      <c r="A740" s="26">
        <v>739.0</v>
      </c>
      <c r="B740" s="17">
        <v>46110.0</v>
      </c>
      <c r="C740" s="26" t="s">
        <v>2122</v>
      </c>
      <c r="D740" s="26"/>
      <c r="E740" s="26"/>
      <c r="F740" s="26" t="s">
        <v>39</v>
      </c>
      <c r="G740" s="27">
        <v>1100.0</v>
      </c>
      <c r="H740" s="26"/>
      <c r="I740" s="26" t="s">
        <v>2123</v>
      </c>
      <c r="J740" s="26"/>
      <c r="K740" s="26" t="s">
        <v>45</v>
      </c>
      <c r="L740" s="26" t="s">
        <v>47</v>
      </c>
      <c r="M740" s="26" t="s">
        <v>61</v>
      </c>
      <c r="N740" s="26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</row>
    <row r="741" ht="15.75" customHeight="1">
      <c r="A741" s="26">
        <v>740.0</v>
      </c>
      <c r="B741" s="17">
        <v>46110.0</v>
      </c>
      <c r="C741" s="26" t="s">
        <v>2124</v>
      </c>
      <c r="D741" s="26"/>
      <c r="E741" s="26"/>
      <c r="F741" s="26" t="s">
        <v>39</v>
      </c>
      <c r="G741" s="27">
        <v>1000.0</v>
      </c>
      <c r="H741" s="26"/>
      <c r="I741" s="26" t="s">
        <v>2125</v>
      </c>
      <c r="J741" s="26"/>
      <c r="K741" s="26" t="s">
        <v>45</v>
      </c>
      <c r="L741" s="26" t="s">
        <v>47</v>
      </c>
      <c r="M741" s="26" t="s">
        <v>61</v>
      </c>
      <c r="N741" s="26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</row>
    <row r="742" ht="15.75" customHeight="1">
      <c r="A742" s="26">
        <v>741.0</v>
      </c>
      <c r="B742" s="17">
        <v>46110.0</v>
      </c>
      <c r="C742" s="26" t="s">
        <v>2126</v>
      </c>
      <c r="D742" s="26"/>
      <c r="E742" s="26"/>
      <c r="F742" s="26" t="s">
        <v>39</v>
      </c>
      <c r="G742" s="27">
        <v>501.0</v>
      </c>
      <c r="H742" s="26"/>
      <c r="I742" s="26" t="s">
        <v>2127</v>
      </c>
      <c r="J742" s="26"/>
      <c r="K742" s="26" t="s">
        <v>45</v>
      </c>
      <c r="L742" s="26" t="s">
        <v>47</v>
      </c>
      <c r="M742" s="26" t="s">
        <v>61</v>
      </c>
      <c r="N742" s="26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</row>
    <row r="743" ht="15.75" customHeight="1">
      <c r="A743" s="26">
        <v>742.0</v>
      </c>
      <c r="B743" s="17">
        <v>46110.0</v>
      </c>
      <c r="C743" s="26" t="s">
        <v>145</v>
      </c>
      <c r="D743" s="26"/>
      <c r="E743" s="26"/>
      <c r="F743" s="26" t="s">
        <v>39</v>
      </c>
      <c r="G743" s="27">
        <v>501.0</v>
      </c>
      <c r="H743" s="26"/>
      <c r="I743" s="26" t="s">
        <v>2128</v>
      </c>
      <c r="J743" s="26"/>
      <c r="K743" s="26" t="s">
        <v>45</v>
      </c>
      <c r="L743" s="26" t="s">
        <v>47</v>
      </c>
      <c r="M743" s="26" t="s">
        <v>61</v>
      </c>
      <c r="N743" s="26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</row>
    <row r="744" ht="15.75" customHeight="1">
      <c r="A744" s="26">
        <v>743.0</v>
      </c>
      <c r="B744" s="17">
        <v>46105.0</v>
      </c>
      <c r="C744" s="26" t="s">
        <v>2129</v>
      </c>
      <c r="D744" s="26"/>
      <c r="E744" s="26"/>
      <c r="F744" s="26" t="s">
        <v>39</v>
      </c>
      <c r="G744" s="27">
        <v>11000.0</v>
      </c>
      <c r="H744" s="26"/>
      <c r="I744" s="26" t="s">
        <v>2130</v>
      </c>
      <c r="J744" s="26"/>
      <c r="K744" s="26" t="s">
        <v>45</v>
      </c>
      <c r="L744" s="26" t="s">
        <v>47</v>
      </c>
      <c r="M744" s="26" t="s">
        <v>61</v>
      </c>
      <c r="N744" s="26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</row>
    <row r="745" ht="15.75" customHeight="1">
      <c r="A745" s="26">
        <v>744.0</v>
      </c>
      <c r="B745" s="96">
        <v>46130.0</v>
      </c>
      <c r="C745" s="85" t="s">
        <v>2131</v>
      </c>
      <c r="D745" s="26"/>
      <c r="E745" s="26"/>
      <c r="F745" s="85" t="s">
        <v>39</v>
      </c>
      <c r="G745" s="82">
        <v>35036.0</v>
      </c>
      <c r="H745" s="26"/>
      <c r="I745" s="85" t="s">
        <v>2132</v>
      </c>
      <c r="J745" s="26"/>
      <c r="K745" s="85" t="s">
        <v>45</v>
      </c>
      <c r="L745" s="85" t="s">
        <v>47</v>
      </c>
      <c r="M745" s="85" t="s">
        <v>866</v>
      </c>
      <c r="N745" s="26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</row>
    <row r="746" ht="15.75" customHeight="1">
      <c r="A746" s="26">
        <v>745.0</v>
      </c>
      <c r="B746" s="96">
        <v>46172.0</v>
      </c>
      <c r="C746" s="85" t="s">
        <v>2133</v>
      </c>
      <c r="D746" s="26"/>
      <c r="E746" s="26"/>
      <c r="F746" s="26"/>
      <c r="G746" s="82">
        <v>24405.0</v>
      </c>
      <c r="H746" s="26"/>
      <c r="I746" s="85" t="s">
        <v>2134</v>
      </c>
      <c r="J746" s="26"/>
      <c r="K746" s="85" t="s">
        <v>45</v>
      </c>
      <c r="L746" s="85" t="s">
        <v>47</v>
      </c>
      <c r="M746" s="85" t="s">
        <v>866</v>
      </c>
      <c r="N746" s="26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</row>
    <row r="747" ht="15.75" customHeight="1">
      <c r="A747" s="26">
        <v>746.0</v>
      </c>
      <c r="B747" s="96">
        <v>46210.0</v>
      </c>
      <c r="C747" s="85" t="s">
        <v>2135</v>
      </c>
      <c r="D747" s="26"/>
      <c r="E747" s="26"/>
      <c r="F747" s="50"/>
      <c r="G747" s="97">
        <v>43356.0</v>
      </c>
      <c r="H747" s="26"/>
      <c r="I747" s="85" t="s">
        <v>2136</v>
      </c>
      <c r="J747" s="26"/>
      <c r="K747" s="85" t="s">
        <v>45</v>
      </c>
      <c r="L747" s="85" t="s">
        <v>47</v>
      </c>
      <c r="M747" s="85" t="s">
        <v>866</v>
      </c>
      <c r="N747" s="50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</row>
    <row r="748" ht="15.75" customHeight="1">
      <c r="A748" s="29"/>
      <c r="B748" s="98"/>
      <c r="C748" s="99"/>
      <c r="D748" s="29"/>
      <c r="E748" s="29"/>
      <c r="F748" s="99"/>
      <c r="G748" s="100"/>
      <c r="H748" s="29"/>
      <c r="I748" s="29"/>
      <c r="J748" s="29"/>
      <c r="K748" s="99"/>
      <c r="L748" s="99"/>
      <c r="M748" s="99"/>
      <c r="N748" s="9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</row>
    <row r="749" ht="15.75" customHeight="1">
      <c r="A749" s="29"/>
      <c r="B749" s="98"/>
      <c r="C749" s="99"/>
      <c r="D749" s="29"/>
      <c r="E749" s="29"/>
      <c r="F749" s="50" t="s">
        <v>2137</v>
      </c>
      <c r="G749" s="101">
        <f>SUM(G2:G747)</f>
        <v>2495038</v>
      </c>
      <c r="H749" s="29"/>
      <c r="I749" s="29"/>
      <c r="J749" s="29"/>
      <c r="K749" s="99"/>
      <c r="L749" s="99"/>
      <c r="M749" s="99"/>
      <c r="N749" s="9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</row>
    <row r="750" ht="15.75" customHeight="1">
      <c r="A750" s="29"/>
      <c r="B750" s="98"/>
      <c r="C750" s="99"/>
      <c r="D750" s="29"/>
      <c r="E750" s="29"/>
      <c r="F750" s="99"/>
      <c r="G750" s="100"/>
      <c r="H750" s="29"/>
      <c r="I750" s="29"/>
      <c r="J750" s="29"/>
      <c r="K750" s="99"/>
      <c r="L750" s="99"/>
      <c r="M750" s="99"/>
      <c r="N750" s="9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</row>
    <row r="751" ht="15.75" customHeight="1">
      <c r="A751" s="29"/>
      <c r="B751" s="98"/>
      <c r="C751" s="99"/>
      <c r="D751" s="29"/>
      <c r="E751" s="29"/>
      <c r="F751" s="99"/>
      <c r="G751" s="100"/>
      <c r="H751" s="29"/>
      <c r="I751" s="29"/>
      <c r="J751" s="29"/>
      <c r="K751" s="99"/>
      <c r="L751" s="99"/>
      <c r="M751" s="99"/>
      <c r="N751" s="9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</row>
    <row r="752" ht="15.75" customHeight="1">
      <c r="A752" s="29"/>
      <c r="B752" s="98"/>
      <c r="C752" s="99"/>
      <c r="D752" s="29"/>
      <c r="E752" s="29"/>
      <c r="F752" s="99"/>
      <c r="G752" s="100"/>
      <c r="H752" s="29"/>
      <c r="I752" s="29"/>
      <c r="J752" s="29"/>
      <c r="K752" s="99"/>
      <c r="L752" s="99"/>
      <c r="M752" s="99"/>
      <c r="N752" s="9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</row>
    <row r="753" ht="15.75" customHeight="1">
      <c r="A753" s="29"/>
      <c r="B753" s="98"/>
      <c r="C753" s="99"/>
      <c r="D753" s="29"/>
      <c r="E753" s="29"/>
      <c r="F753" s="99"/>
      <c r="G753" s="100"/>
      <c r="H753" s="29"/>
      <c r="I753" s="29"/>
      <c r="J753" s="29"/>
      <c r="K753" s="99"/>
      <c r="L753" s="99"/>
      <c r="M753" s="99"/>
      <c r="N753" s="9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</row>
    <row r="754" ht="15.75" customHeight="1">
      <c r="A754" s="29"/>
      <c r="B754" s="98"/>
      <c r="C754" s="99"/>
      <c r="D754" s="29"/>
      <c r="E754" s="29"/>
      <c r="F754" s="99"/>
      <c r="G754" s="100"/>
      <c r="H754" s="29"/>
      <c r="I754" s="29"/>
      <c r="J754" s="29"/>
      <c r="K754" s="99"/>
      <c r="L754" s="99"/>
      <c r="M754" s="99"/>
      <c r="N754" s="9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</row>
    <row r="755" ht="15.75" customHeight="1">
      <c r="A755" s="29"/>
      <c r="B755" s="98"/>
      <c r="C755" s="99"/>
      <c r="D755" s="29"/>
      <c r="E755" s="29"/>
      <c r="F755" s="99"/>
      <c r="G755" s="100"/>
      <c r="H755" s="29"/>
      <c r="I755" s="29"/>
      <c r="J755" s="29"/>
      <c r="K755" s="99"/>
      <c r="L755" s="99"/>
      <c r="M755" s="99"/>
      <c r="N755" s="9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</row>
    <row r="756" ht="15.75" customHeight="1">
      <c r="A756" s="29"/>
      <c r="B756" s="98"/>
      <c r="C756" s="99"/>
      <c r="D756" s="29"/>
      <c r="E756" s="29"/>
      <c r="F756" s="99"/>
      <c r="G756" s="100"/>
      <c r="H756" s="29"/>
      <c r="I756" s="29"/>
      <c r="J756" s="29"/>
      <c r="K756" s="99"/>
      <c r="L756" s="99"/>
      <c r="M756" s="99"/>
      <c r="N756" s="9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</row>
    <row r="757" ht="15.75" customHeight="1">
      <c r="A757" s="29"/>
      <c r="B757" s="98"/>
      <c r="C757" s="99"/>
      <c r="D757" s="29"/>
      <c r="E757" s="29"/>
      <c r="F757" s="99"/>
      <c r="G757" s="100"/>
      <c r="H757" s="29"/>
      <c r="I757" s="29"/>
      <c r="J757" s="29"/>
      <c r="K757" s="99"/>
      <c r="L757" s="99"/>
      <c r="M757" s="99"/>
      <c r="N757" s="9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</row>
    <row r="758" ht="15.75" customHeight="1">
      <c r="A758" s="29"/>
      <c r="B758" s="98"/>
      <c r="C758" s="99"/>
      <c r="D758" s="29"/>
      <c r="E758" s="29"/>
      <c r="F758" s="99"/>
      <c r="G758" s="100"/>
      <c r="H758" s="29"/>
      <c r="I758" s="29"/>
      <c r="J758" s="29"/>
      <c r="K758" s="99"/>
      <c r="L758" s="99"/>
      <c r="M758" s="99"/>
      <c r="N758" s="9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</row>
    <row r="759" ht="15.75" customHeight="1">
      <c r="A759" s="29"/>
      <c r="B759" s="98"/>
      <c r="C759" s="99"/>
      <c r="D759" s="29"/>
      <c r="E759" s="29"/>
      <c r="F759" s="99"/>
      <c r="G759" s="100"/>
      <c r="H759" s="29"/>
      <c r="I759" s="29"/>
      <c r="J759" s="29"/>
      <c r="K759" s="99"/>
      <c r="L759" s="99"/>
      <c r="M759" s="99"/>
      <c r="N759" s="9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</row>
    <row r="760" ht="15.75" customHeight="1">
      <c r="A760" s="29"/>
      <c r="B760" s="98"/>
      <c r="C760" s="99"/>
      <c r="D760" s="29"/>
      <c r="E760" s="29"/>
      <c r="F760" s="99"/>
      <c r="G760" s="100"/>
      <c r="H760" s="29"/>
      <c r="I760" s="29"/>
      <c r="J760" s="29"/>
      <c r="K760" s="99"/>
      <c r="L760" s="99"/>
      <c r="M760" s="99"/>
      <c r="N760" s="9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</row>
    <row r="761" ht="15.75" customHeight="1">
      <c r="A761" s="29"/>
      <c r="B761" s="98"/>
      <c r="C761" s="99"/>
      <c r="D761" s="29"/>
      <c r="E761" s="29"/>
      <c r="F761" s="99"/>
      <c r="G761" s="100"/>
      <c r="H761" s="29"/>
      <c r="I761" s="29"/>
      <c r="J761" s="29"/>
      <c r="K761" s="99"/>
      <c r="L761" s="99"/>
      <c r="M761" s="99"/>
      <c r="N761" s="9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</row>
    <row r="762" ht="15.75" customHeight="1">
      <c r="A762" s="29"/>
      <c r="B762" s="98"/>
      <c r="C762" s="99"/>
      <c r="D762" s="29"/>
      <c r="E762" s="29"/>
      <c r="F762" s="99"/>
      <c r="G762" s="100"/>
      <c r="H762" s="29"/>
      <c r="I762" s="29"/>
      <c r="J762" s="29"/>
      <c r="K762" s="99"/>
      <c r="L762" s="99"/>
      <c r="M762" s="99"/>
      <c r="N762" s="9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</row>
    <row r="763" ht="15.75" customHeight="1">
      <c r="A763" s="29"/>
      <c r="B763" s="98"/>
      <c r="C763" s="99"/>
      <c r="D763" s="29"/>
      <c r="E763" s="29"/>
      <c r="F763" s="99"/>
      <c r="G763" s="100"/>
      <c r="H763" s="29"/>
      <c r="I763" s="29"/>
      <c r="J763" s="29"/>
      <c r="K763" s="99"/>
      <c r="L763" s="99"/>
      <c r="M763" s="99"/>
      <c r="N763" s="9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</row>
    <row r="764" ht="15.75" customHeight="1">
      <c r="A764" s="29"/>
      <c r="B764" s="98"/>
      <c r="C764" s="99"/>
      <c r="D764" s="29"/>
      <c r="E764" s="29"/>
      <c r="F764" s="99"/>
      <c r="G764" s="100"/>
      <c r="H764" s="29"/>
      <c r="I764" s="29"/>
      <c r="J764" s="29"/>
      <c r="K764" s="99"/>
      <c r="L764" s="99"/>
      <c r="M764" s="99"/>
      <c r="N764" s="9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</row>
    <row r="765" ht="15.75" customHeight="1">
      <c r="A765" s="29"/>
      <c r="B765" s="98"/>
      <c r="C765" s="99"/>
      <c r="D765" s="29"/>
      <c r="E765" s="29"/>
      <c r="F765" s="99"/>
      <c r="G765" s="100"/>
      <c r="H765" s="29"/>
      <c r="I765" s="29"/>
      <c r="J765" s="29"/>
      <c r="K765" s="99"/>
      <c r="L765" s="99"/>
      <c r="M765" s="99"/>
      <c r="N765" s="9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</row>
    <row r="766" ht="15.75" customHeight="1">
      <c r="A766" s="29"/>
      <c r="B766" s="98"/>
      <c r="C766" s="99"/>
      <c r="D766" s="29"/>
      <c r="E766" s="29"/>
      <c r="F766" s="99"/>
      <c r="G766" s="100"/>
      <c r="H766" s="29"/>
      <c r="I766" s="29"/>
      <c r="J766" s="29"/>
      <c r="K766" s="99"/>
      <c r="L766" s="99"/>
      <c r="M766" s="99"/>
      <c r="N766" s="9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</row>
    <row r="767" ht="15.75" customHeight="1">
      <c r="A767" s="29"/>
      <c r="B767" s="98"/>
      <c r="C767" s="99"/>
      <c r="D767" s="29"/>
      <c r="E767" s="29"/>
      <c r="F767" s="99"/>
      <c r="G767" s="100"/>
      <c r="H767" s="29"/>
      <c r="I767" s="29"/>
      <c r="J767" s="29"/>
      <c r="K767" s="99"/>
      <c r="L767" s="99"/>
      <c r="M767" s="99"/>
      <c r="N767" s="9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</row>
    <row r="768" ht="15.75" customHeight="1">
      <c r="A768" s="29"/>
      <c r="B768" s="98"/>
      <c r="C768" s="99"/>
      <c r="D768" s="29"/>
      <c r="E768" s="29"/>
      <c r="F768" s="99"/>
      <c r="G768" s="100"/>
      <c r="H768" s="29"/>
      <c r="I768" s="29"/>
      <c r="J768" s="29"/>
      <c r="K768" s="99"/>
      <c r="L768" s="99"/>
      <c r="M768" s="99"/>
      <c r="N768" s="9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</row>
    <row r="769" ht="15.75" customHeight="1">
      <c r="A769" s="29"/>
      <c r="B769" s="98"/>
      <c r="C769" s="99"/>
      <c r="D769" s="29"/>
      <c r="E769" s="29"/>
      <c r="F769" s="99"/>
      <c r="G769" s="100"/>
      <c r="H769" s="29"/>
      <c r="I769" s="29"/>
      <c r="J769" s="29"/>
      <c r="K769" s="99"/>
      <c r="L769" s="99"/>
      <c r="M769" s="99"/>
      <c r="N769" s="9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</row>
    <row r="770" ht="15.75" customHeight="1">
      <c r="A770" s="29"/>
      <c r="B770" s="98"/>
      <c r="C770" s="99"/>
      <c r="D770" s="29"/>
      <c r="E770" s="29"/>
      <c r="F770" s="99"/>
      <c r="G770" s="100"/>
      <c r="H770" s="29"/>
      <c r="I770" s="29"/>
      <c r="J770" s="29"/>
      <c r="K770" s="99"/>
      <c r="L770" s="99"/>
      <c r="M770" s="99"/>
      <c r="N770" s="9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</row>
    <row r="771" ht="15.75" customHeight="1">
      <c r="A771" s="29"/>
      <c r="B771" s="98"/>
      <c r="C771" s="99"/>
      <c r="D771" s="29"/>
      <c r="E771" s="29"/>
      <c r="F771" s="99"/>
      <c r="G771" s="100"/>
      <c r="H771" s="29"/>
      <c r="I771" s="29"/>
      <c r="J771" s="29"/>
      <c r="K771" s="99"/>
      <c r="L771" s="99"/>
      <c r="M771" s="99"/>
      <c r="N771" s="9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</row>
    <row r="772" ht="15.75" customHeight="1">
      <c r="A772" s="29"/>
      <c r="B772" s="98"/>
      <c r="C772" s="99"/>
      <c r="D772" s="29"/>
      <c r="E772" s="29"/>
      <c r="F772" s="99"/>
      <c r="G772" s="100"/>
      <c r="H772" s="29"/>
      <c r="I772" s="29"/>
      <c r="J772" s="29"/>
      <c r="K772" s="99"/>
      <c r="L772" s="99"/>
      <c r="M772" s="99"/>
      <c r="N772" s="9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</row>
    <row r="773" ht="15.75" customHeight="1">
      <c r="A773" s="29"/>
      <c r="B773" s="98"/>
      <c r="C773" s="99"/>
      <c r="D773" s="29"/>
      <c r="E773" s="29"/>
      <c r="F773" s="99"/>
      <c r="G773" s="100"/>
      <c r="H773" s="29"/>
      <c r="I773" s="29"/>
      <c r="J773" s="29"/>
      <c r="K773" s="99"/>
      <c r="L773" s="99"/>
      <c r="M773" s="99"/>
      <c r="N773" s="9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</row>
    <row r="774" ht="15.75" customHeight="1">
      <c r="A774" s="29"/>
      <c r="B774" s="98"/>
      <c r="C774" s="99"/>
      <c r="D774" s="29"/>
      <c r="E774" s="29"/>
      <c r="F774" s="99"/>
      <c r="G774" s="100"/>
      <c r="H774" s="29"/>
      <c r="I774" s="29"/>
      <c r="J774" s="29"/>
      <c r="K774" s="99"/>
      <c r="L774" s="99"/>
      <c r="M774" s="99"/>
      <c r="N774" s="9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</row>
    <row r="775" ht="15.75" customHeight="1">
      <c r="A775" s="29"/>
      <c r="B775" s="98"/>
      <c r="C775" s="99"/>
      <c r="D775" s="29"/>
      <c r="E775" s="29"/>
      <c r="F775" s="99"/>
      <c r="G775" s="100"/>
      <c r="H775" s="29"/>
      <c r="I775" s="29"/>
      <c r="J775" s="29"/>
      <c r="K775" s="99"/>
      <c r="L775" s="99"/>
      <c r="M775" s="99"/>
      <c r="N775" s="9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</row>
    <row r="776" ht="15.75" customHeight="1">
      <c r="A776" s="29"/>
      <c r="B776" s="98"/>
      <c r="C776" s="99"/>
      <c r="D776" s="29"/>
      <c r="E776" s="29"/>
      <c r="F776" s="99"/>
      <c r="G776" s="100"/>
      <c r="H776" s="29"/>
      <c r="I776" s="29"/>
      <c r="J776" s="29"/>
      <c r="K776" s="99"/>
      <c r="L776" s="99"/>
      <c r="M776" s="99"/>
      <c r="N776" s="9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</row>
    <row r="777" ht="15.75" customHeight="1">
      <c r="A777" s="29"/>
      <c r="B777" s="98"/>
      <c r="C777" s="99"/>
      <c r="D777" s="29"/>
      <c r="E777" s="29"/>
      <c r="F777" s="99"/>
      <c r="G777" s="100"/>
      <c r="H777" s="29"/>
      <c r="I777" s="29"/>
      <c r="J777" s="29"/>
      <c r="K777" s="99"/>
      <c r="L777" s="99"/>
      <c r="M777" s="99"/>
      <c r="N777" s="9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</row>
    <row r="778" ht="15.75" customHeight="1">
      <c r="A778" s="29"/>
      <c r="B778" s="98"/>
      <c r="C778" s="99"/>
      <c r="D778" s="29"/>
      <c r="E778" s="29"/>
      <c r="F778" s="99"/>
      <c r="G778" s="100"/>
      <c r="H778" s="29"/>
      <c r="I778" s="29"/>
      <c r="J778" s="29"/>
      <c r="K778" s="99"/>
      <c r="L778" s="99"/>
      <c r="M778" s="99"/>
      <c r="N778" s="9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</row>
    <row r="779" ht="15.75" customHeight="1">
      <c r="A779" s="29"/>
      <c r="B779" s="98"/>
      <c r="C779" s="99"/>
      <c r="D779" s="29"/>
      <c r="E779" s="29"/>
      <c r="F779" s="99"/>
      <c r="G779" s="100"/>
      <c r="H779" s="29"/>
      <c r="I779" s="29"/>
      <c r="J779" s="29"/>
      <c r="K779" s="99"/>
      <c r="L779" s="99"/>
      <c r="M779" s="99"/>
      <c r="N779" s="9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</row>
    <row r="780" ht="15.75" customHeight="1">
      <c r="A780" s="29"/>
      <c r="B780" s="98"/>
      <c r="C780" s="99"/>
      <c r="D780" s="29"/>
      <c r="E780" s="29"/>
      <c r="F780" s="99"/>
      <c r="G780" s="100"/>
      <c r="H780" s="29"/>
      <c r="I780" s="29"/>
      <c r="J780" s="29"/>
      <c r="K780" s="99"/>
      <c r="L780" s="99"/>
      <c r="M780" s="99"/>
      <c r="N780" s="9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</row>
    <row r="781" ht="15.75" customHeight="1">
      <c r="A781" s="29"/>
      <c r="B781" s="98"/>
      <c r="C781" s="99"/>
      <c r="D781" s="29"/>
      <c r="E781" s="29"/>
      <c r="F781" s="99"/>
      <c r="G781" s="100"/>
      <c r="H781" s="29"/>
      <c r="I781" s="29"/>
      <c r="J781" s="29"/>
      <c r="K781" s="99"/>
      <c r="L781" s="99"/>
      <c r="M781" s="99"/>
      <c r="N781" s="9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</row>
    <row r="782" ht="15.75" customHeight="1">
      <c r="A782" s="29"/>
      <c r="B782" s="98"/>
      <c r="C782" s="99"/>
      <c r="D782" s="29"/>
      <c r="E782" s="29"/>
      <c r="F782" s="99"/>
      <c r="G782" s="100"/>
      <c r="H782" s="29"/>
      <c r="I782" s="29"/>
      <c r="J782" s="29"/>
      <c r="K782" s="99"/>
      <c r="L782" s="99"/>
      <c r="M782" s="99"/>
      <c r="N782" s="9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</row>
    <row r="783" ht="15.75" customHeight="1">
      <c r="A783" s="29"/>
      <c r="B783" s="98"/>
      <c r="C783" s="99"/>
      <c r="D783" s="29"/>
      <c r="E783" s="29"/>
      <c r="F783" s="99"/>
      <c r="G783" s="100"/>
      <c r="H783" s="29"/>
      <c r="I783" s="29"/>
      <c r="J783" s="29"/>
      <c r="K783" s="99"/>
      <c r="L783" s="99"/>
      <c r="M783" s="99"/>
      <c r="N783" s="9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</row>
    <row r="784" ht="15.75" customHeight="1">
      <c r="A784" s="29"/>
      <c r="B784" s="98"/>
      <c r="C784" s="99"/>
      <c r="D784" s="29"/>
      <c r="E784" s="29"/>
      <c r="F784" s="99"/>
      <c r="G784" s="100"/>
      <c r="H784" s="29"/>
      <c r="I784" s="29"/>
      <c r="J784" s="29"/>
      <c r="K784" s="99"/>
      <c r="L784" s="99"/>
      <c r="M784" s="99"/>
      <c r="N784" s="9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</row>
    <row r="785" ht="15.75" customHeight="1">
      <c r="A785" s="29"/>
      <c r="B785" s="98"/>
      <c r="C785" s="99"/>
      <c r="D785" s="29"/>
      <c r="E785" s="29"/>
      <c r="F785" s="99"/>
      <c r="G785" s="100"/>
      <c r="H785" s="29"/>
      <c r="I785" s="29"/>
      <c r="J785" s="29"/>
      <c r="K785" s="99"/>
      <c r="L785" s="99"/>
      <c r="M785" s="99"/>
      <c r="N785" s="9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</row>
    <row r="786" ht="15.75" customHeight="1">
      <c r="A786" s="29"/>
      <c r="B786" s="98"/>
      <c r="C786" s="99"/>
      <c r="D786" s="29"/>
      <c r="E786" s="29"/>
      <c r="F786" s="99"/>
      <c r="G786" s="100"/>
      <c r="H786" s="29"/>
      <c r="I786" s="29"/>
      <c r="J786" s="29"/>
      <c r="K786" s="99"/>
      <c r="L786" s="99"/>
      <c r="M786" s="99"/>
      <c r="N786" s="9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</row>
    <row r="787" ht="15.75" customHeight="1">
      <c r="A787" s="29"/>
      <c r="B787" s="98"/>
      <c r="C787" s="99"/>
      <c r="D787" s="29"/>
      <c r="E787" s="29"/>
      <c r="F787" s="99"/>
      <c r="G787" s="100"/>
      <c r="H787" s="29"/>
      <c r="I787" s="29"/>
      <c r="J787" s="29"/>
      <c r="K787" s="99"/>
      <c r="L787" s="99"/>
      <c r="M787" s="99"/>
      <c r="N787" s="9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</row>
    <row r="788" ht="15.75" customHeight="1">
      <c r="A788" s="29"/>
      <c r="B788" s="98"/>
      <c r="C788" s="99"/>
      <c r="D788" s="29"/>
      <c r="E788" s="29"/>
      <c r="F788" s="99"/>
      <c r="G788" s="100"/>
      <c r="H788" s="29"/>
      <c r="I788" s="29"/>
      <c r="J788" s="29"/>
      <c r="K788" s="99"/>
      <c r="L788" s="99"/>
      <c r="M788" s="99"/>
      <c r="N788" s="9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</row>
    <row r="789" ht="15.75" customHeight="1">
      <c r="A789" s="29"/>
      <c r="B789" s="98"/>
      <c r="C789" s="99"/>
      <c r="D789" s="29"/>
      <c r="E789" s="29"/>
      <c r="F789" s="99"/>
      <c r="G789" s="100"/>
      <c r="H789" s="29"/>
      <c r="I789" s="29"/>
      <c r="J789" s="29"/>
      <c r="K789" s="99"/>
      <c r="L789" s="99"/>
      <c r="M789" s="99"/>
      <c r="N789" s="9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</row>
    <row r="790" ht="15.75" customHeight="1">
      <c r="A790" s="29"/>
      <c r="B790" s="98"/>
      <c r="C790" s="99"/>
      <c r="D790" s="29"/>
      <c r="E790" s="29"/>
      <c r="F790" s="99"/>
      <c r="G790" s="100"/>
      <c r="H790" s="29"/>
      <c r="I790" s="29"/>
      <c r="J790" s="29"/>
      <c r="K790" s="99"/>
      <c r="L790" s="99"/>
      <c r="M790" s="99"/>
      <c r="N790" s="9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</row>
    <row r="791" ht="15.75" customHeight="1">
      <c r="A791" s="29"/>
      <c r="B791" s="98"/>
      <c r="C791" s="99"/>
      <c r="D791" s="29"/>
      <c r="E791" s="29"/>
      <c r="F791" s="99"/>
      <c r="G791" s="100"/>
      <c r="H791" s="29"/>
      <c r="I791" s="29"/>
      <c r="J791" s="29"/>
      <c r="K791" s="99"/>
      <c r="L791" s="99"/>
      <c r="M791" s="99"/>
      <c r="N791" s="9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</row>
    <row r="792" ht="15.75" customHeight="1">
      <c r="A792" s="29"/>
      <c r="B792" s="98"/>
      <c r="C792" s="99"/>
      <c r="D792" s="29"/>
      <c r="E792" s="29"/>
      <c r="F792" s="99"/>
      <c r="G792" s="100"/>
      <c r="H792" s="29"/>
      <c r="I792" s="29"/>
      <c r="J792" s="29"/>
      <c r="K792" s="99"/>
      <c r="L792" s="99"/>
      <c r="M792" s="99"/>
      <c r="N792" s="9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</row>
    <row r="793" ht="15.75" customHeight="1">
      <c r="A793" s="29"/>
      <c r="B793" s="98"/>
      <c r="C793" s="99"/>
      <c r="D793" s="29"/>
      <c r="E793" s="29"/>
      <c r="F793" s="99"/>
      <c r="G793" s="100"/>
      <c r="H793" s="29"/>
      <c r="I793" s="29"/>
      <c r="J793" s="29"/>
      <c r="K793" s="99"/>
      <c r="L793" s="99"/>
      <c r="M793" s="99"/>
      <c r="N793" s="9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</row>
    <row r="794" ht="15.75" customHeight="1">
      <c r="A794" s="29"/>
      <c r="B794" s="98"/>
      <c r="C794" s="99"/>
      <c r="D794" s="29"/>
      <c r="E794" s="29"/>
      <c r="F794" s="99"/>
      <c r="G794" s="100"/>
      <c r="H794" s="29"/>
      <c r="I794" s="29"/>
      <c r="J794" s="29"/>
      <c r="K794" s="99"/>
      <c r="L794" s="99"/>
      <c r="M794" s="99"/>
      <c r="N794" s="9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</row>
    <row r="795" ht="15.75" customHeight="1">
      <c r="A795" s="29"/>
      <c r="B795" s="98"/>
      <c r="C795" s="99"/>
      <c r="D795" s="29"/>
      <c r="E795" s="29"/>
      <c r="F795" s="99"/>
      <c r="G795" s="100"/>
      <c r="H795" s="29"/>
      <c r="I795" s="29"/>
      <c r="J795" s="29"/>
      <c r="K795" s="99"/>
      <c r="L795" s="99"/>
      <c r="M795" s="99"/>
      <c r="N795" s="9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</row>
    <row r="796" ht="15.75" customHeight="1">
      <c r="A796" s="29"/>
      <c r="B796" s="98"/>
      <c r="C796" s="99"/>
      <c r="D796" s="29"/>
      <c r="E796" s="29"/>
      <c r="F796" s="99"/>
      <c r="G796" s="100"/>
      <c r="H796" s="29"/>
      <c r="I796" s="29"/>
      <c r="J796" s="29"/>
      <c r="K796" s="99"/>
      <c r="L796" s="99"/>
      <c r="M796" s="99"/>
      <c r="N796" s="9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</row>
    <row r="797" ht="15.75" customHeight="1">
      <c r="A797" s="29"/>
      <c r="B797" s="98"/>
      <c r="C797" s="99"/>
      <c r="D797" s="29"/>
      <c r="E797" s="29"/>
      <c r="F797" s="99"/>
      <c r="G797" s="100"/>
      <c r="H797" s="29"/>
      <c r="I797" s="29"/>
      <c r="J797" s="29"/>
      <c r="K797" s="99"/>
      <c r="L797" s="99"/>
      <c r="M797" s="99"/>
      <c r="N797" s="9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</row>
    <row r="798" ht="15.75" customHeight="1">
      <c r="A798" s="29"/>
      <c r="B798" s="98"/>
      <c r="C798" s="99"/>
      <c r="D798" s="29"/>
      <c r="E798" s="29"/>
      <c r="F798" s="99"/>
      <c r="G798" s="100"/>
      <c r="H798" s="29"/>
      <c r="I798" s="29"/>
      <c r="J798" s="29"/>
      <c r="K798" s="99"/>
      <c r="L798" s="99"/>
      <c r="M798" s="99"/>
      <c r="N798" s="9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</row>
    <row r="799" ht="15.75" customHeight="1">
      <c r="A799" s="29"/>
      <c r="B799" s="98"/>
      <c r="C799" s="99"/>
      <c r="D799" s="29"/>
      <c r="E799" s="29"/>
      <c r="F799" s="99"/>
      <c r="G799" s="100"/>
      <c r="H799" s="29"/>
      <c r="I799" s="29"/>
      <c r="J799" s="29"/>
      <c r="K799" s="99"/>
      <c r="L799" s="99"/>
      <c r="M799" s="99"/>
      <c r="N799" s="9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</row>
    <row r="800" ht="15.75" customHeight="1">
      <c r="A800" s="29"/>
      <c r="B800" s="98"/>
      <c r="C800" s="99"/>
      <c r="D800" s="29"/>
      <c r="E800" s="29"/>
      <c r="F800" s="99"/>
      <c r="G800" s="100"/>
      <c r="H800" s="29"/>
      <c r="I800" s="29"/>
      <c r="J800" s="29"/>
      <c r="K800" s="99"/>
      <c r="L800" s="99"/>
      <c r="M800" s="99"/>
      <c r="N800" s="9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</row>
    <row r="801" ht="15.75" customHeight="1">
      <c r="A801" s="29"/>
      <c r="B801" s="98"/>
      <c r="C801" s="99"/>
      <c r="D801" s="29"/>
      <c r="E801" s="29"/>
      <c r="F801" s="99"/>
      <c r="G801" s="100"/>
      <c r="H801" s="29"/>
      <c r="I801" s="29"/>
      <c r="J801" s="29"/>
      <c r="K801" s="99"/>
      <c r="L801" s="99"/>
      <c r="M801" s="99"/>
      <c r="N801" s="9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</row>
    <row r="802" ht="15.75" customHeight="1">
      <c r="A802" s="29"/>
      <c r="B802" s="98"/>
      <c r="C802" s="99"/>
      <c r="D802" s="29"/>
      <c r="E802" s="29"/>
      <c r="F802" s="99"/>
      <c r="G802" s="100"/>
      <c r="H802" s="29"/>
      <c r="I802" s="29"/>
      <c r="J802" s="29"/>
      <c r="K802" s="99"/>
      <c r="L802" s="99"/>
      <c r="M802" s="99"/>
      <c r="N802" s="9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</row>
    <row r="803" ht="15.75" customHeight="1">
      <c r="A803" s="29"/>
      <c r="B803" s="98"/>
      <c r="C803" s="99"/>
      <c r="D803" s="29"/>
      <c r="E803" s="29"/>
      <c r="F803" s="99"/>
      <c r="G803" s="100"/>
      <c r="H803" s="29"/>
      <c r="I803" s="29"/>
      <c r="J803" s="29"/>
      <c r="K803" s="99"/>
      <c r="L803" s="99"/>
      <c r="M803" s="99"/>
      <c r="N803" s="9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</row>
    <row r="804" ht="15.75" customHeight="1">
      <c r="A804" s="29"/>
      <c r="B804" s="98"/>
      <c r="C804" s="99"/>
      <c r="D804" s="29"/>
      <c r="E804" s="29"/>
      <c r="F804" s="99"/>
      <c r="G804" s="100"/>
      <c r="H804" s="29"/>
      <c r="I804" s="29"/>
      <c r="J804" s="29"/>
      <c r="K804" s="99"/>
      <c r="L804" s="99"/>
      <c r="M804" s="99"/>
      <c r="N804" s="9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</row>
    <row r="805" ht="15.75" customHeight="1">
      <c r="A805" s="29"/>
      <c r="B805" s="98"/>
      <c r="C805" s="99"/>
      <c r="D805" s="29"/>
      <c r="E805" s="29"/>
      <c r="F805" s="99"/>
      <c r="G805" s="100"/>
      <c r="H805" s="29"/>
      <c r="I805" s="29"/>
      <c r="J805" s="29"/>
      <c r="K805" s="99"/>
      <c r="L805" s="99"/>
      <c r="M805" s="99"/>
      <c r="N805" s="9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</row>
    <row r="806" ht="15.75" customHeight="1">
      <c r="A806" s="29"/>
      <c r="B806" s="98"/>
      <c r="C806" s="99"/>
      <c r="D806" s="29"/>
      <c r="E806" s="29"/>
      <c r="F806" s="99"/>
      <c r="G806" s="100"/>
      <c r="H806" s="29"/>
      <c r="I806" s="29"/>
      <c r="J806" s="29"/>
      <c r="K806" s="99"/>
      <c r="L806" s="99"/>
      <c r="M806" s="99"/>
      <c r="N806" s="9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</row>
    <row r="807" ht="15.75" customHeight="1">
      <c r="A807" s="29"/>
      <c r="B807" s="98"/>
      <c r="C807" s="99"/>
      <c r="D807" s="29"/>
      <c r="E807" s="29"/>
      <c r="F807" s="99"/>
      <c r="G807" s="100"/>
      <c r="H807" s="29"/>
      <c r="I807" s="29"/>
      <c r="J807" s="29"/>
      <c r="K807" s="99"/>
      <c r="L807" s="99"/>
      <c r="M807" s="99"/>
      <c r="N807" s="9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</row>
    <row r="808" ht="15.75" customHeight="1">
      <c r="A808" s="29"/>
      <c r="B808" s="98"/>
      <c r="C808" s="99"/>
      <c r="D808" s="29"/>
      <c r="E808" s="29"/>
      <c r="F808" s="99"/>
      <c r="G808" s="100"/>
      <c r="H808" s="29"/>
      <c r="I808" s="29"/>
      <c r="J808" s="29"/>
      <c r="K808" s="99"/>
      <c r="L808" s="99"/>
      <c r="M808" s="99"/>
      <c r="N808" s="9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</row>
    <row r="809" ht="15.75" customHeight="1">
      <c r="A809" s="29"/>
      <c r="B809" s="98"/>
      <c r="C809" s="99"/>
      <c r="D809" s="29"/>
      <c r="E809" s="29"/>
      <c r="F809" s="99"/>
      <c r="G809" s="100"/>
      <c r="H809" s="29"/>
      <c r="I809" s="29"/>
      <c r="J809" s="29"/>
      <c r="K809" s="99"/>
      <c r="L809" s="99"/>
      <c r="M809" s="99"/>
      <c r="N809" s="9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</row>
    <row r="810" ht="15.75" customHeight="1">
      <c r="A810" s="29"/>
      <c r="B810" s="98"/>
      <c r="C810" s="99"/>
      <c r="D810" s="29"/>
      <c r="E810" s="29"/>
      <c r="F810" s="99"/>
      <c r="G810" s="100"/>
      <c r="H810" s="29"/>
      <c r="I810" s="29"/>
      <c r="J810" s="29"/>
      <c r="K810" s="99"/>
      <c r="L810" s="99"/>
      <c r="M810" s="99"/>
      <c r="N810" s="9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</row>
    <row r="811" ht="15.75" customHeight="1">
      <c r="A811" s="29"/>
      <c r="B811" s="98"/>
      <c r="C811" s="99"/>
      <c r="D811" s="29"/>
      <c r="E811" s="29"/>
      <c r="F811" s="99"/>
      <c r="G811" s="100"/>
      <c r="H811" s="29"/>
      <c r="I811" s="29"/>
      <c r="J811" s="29"/>
      <c r="K811" s="99"/>
      <c r="L811" s="99"/>
      <c r="M811" s="99"/>
      <c r="N811" s="9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</row>
    <row r="812" ht="15.75" customHeight="1">
      <c r="A812" s="29"/>
      <c r="B812" s="98"/>
      <c r="C812" s="99"/>
      <c r="D812" s="29"/>
      <c r="E812" s="29"/>
      <c r="F812" s="99"/>
      <c r="G812" s="100"/>
      <c r="H812" s="29"/>
      <c r="I812" s="29"/>
      <c r="J812" s="29"/>
      <c r="K812" s="99"/>
      <c r="L812" s="99"/>
      <c r="M812" s="99"/>
      <c r="N812" s="9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</row>
    <row r="813" ht="15.75" customHeight="1">
      <c r="A813" s="29"/>
      <c r="B813" s="98"/>
      <c r="C813" s="99"/>
      <c r="D813" s="29"/>
      <c r="E813" s="29"/>
      <c r="F813" s="99"/>
      <c r="G813" s="100"/>
      <c r="H813" s="29"/>
      <c r="I813" s="29"/>
      <c r="J813" s="29"/>
      <c r="K813" s="99"/>
      <c r="L813" s="99"/>
      <c r="M813" s="99"/>
      <c r="N813" s="9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</row>
    <row r="814" ht="15.75" customHeight="1">
      <c r="A814" s="29"/>
      <c r="B814" s="98"/>
      <c r="C814" s="99"/>
      <c r="D814" s="29"/>
      <c r="E814" s="29"/>
      <c r="F814" s="99"/>
      <c r="G814" s="100"/>
      <c r="H814" s="29"/>
      <c r="I814" s="29"/>
      <c r="J814" s="29"/>
      <c r="K814" s="99"/>
      <c r="L814" s="99"/>
      <c r="M814" s="99"/>
      <c r="N814" s="9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</row>
    <row r="815" ht="15.75" customHeight="1">
      <c r="A815" s="29"/>
      <c r="B815" s="98"/>
      <c r="C815" s="99"/>
      <c r="D815" s="29"/>
      <c r="E815" s="29"/>
      <c r="F815" s="99"/>
      <c r="G815" s="100"/>
      <c r="H815" s="29"/>
      <c r="I815" s="29"/>
      <c r="J815" s="29"/>
      <c r="K815" s="99"/>
      <c r="L815" s="99"/>
      <c r="M815" s="99"/>
      <c r="N815" s="9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</row>
    <row r="816" ht="15.75" customHeight="1">
      <c r="A816" s="29"/>
      <c r="B816" s="98"/>
      <c r="C816" s="99"/>
      <c r="D816" s="29"/>
      <c r="E816" s="29"/>
      <c r="F816" s="99"/>
      <c r="G816" s="100"/>
      <c r="H816" s="29"/>
      <c r="I816" s="29"/>
      <c r="J816" s="29"/>
      <c r="K816" s="99"/>
      <c r="L816" s="99"/>
      <c r="M816" s="99"/>
      <c r="N816" s="9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</row>
    <row r="817" ht="15.75" customHeight="1">
      <c r="A817" s="29"/>
      <c r="B817" s="98"/>
      <c r="C817" s="99"/>
      <c r="D817" s="29"/>
      <c r="E817" s="29"/>
      <c r="F817" s="99"/>
      <c r="G817" s="100"/>
      <c r="H817" s="29"/>
      <c r="I817" s="29"/>
      <c r="J817" s="29"/>
      <c r="K817" s="99"/>
      <c r="L817" s="99"/>
      <c r="M817" s="99"/>
      <c r="N817" s="9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</row>
    <row r="818" ht="15.75" customHeight="1">
      <c r="A818" s="29"/>
      <c r="B818" s="98"/>
      <c r="C818" s="99"/>
      <c r="D818" s="29"/>
      <c r="E818" s="29"/>
      <c r="F818" s="99"/>
      <c r="G818" s="100"/>
      <c r="H818" s="29"/>
      <c r="I818" s="29"/>
      <c r="J818" s="29"/>
      <c r="K818" s="99"/>
      <c r="L818" s="99"/>
      <c r="M818" s="99"/>
      <c r="N818" s="9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</row>
    <row r="819" ht="15.75" customHeight="1">
      <c r="A819" s="29"/>
      <c r="B819" s="98"/>
      <c r="C819" s="99"/>
      <c r="D819" s="29"/>
      <c r="E819" s="29"/>
      <c r="F819" s="99"/>
      <c r="G819" s="100"/>
      <c r="H819" s="29"/>
      <c r="I819" s="29"/>
      <c r="J819" s="29"/>
      <c r="K819" s="99"/>
      <c r="L819" s="99"/>
      <c r="M819" s="99"/>
      <c r="N819" s="9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</row>
    <row r="820" ht="15.75" customHeight="1">
      <c r="A820" s="29"/>
      <c r="B820" s="98"/>
      <c r="C820" s="99"/>
      <c r="D820" s="29"/>
      <c r="E820" s="29"/>
      <c r="F820" s="99"/>
      <c r="G820" s="100"/>
      <c r="H820" s="29"/>
      <c r="I820" s="29"/>
      <c r="J820" s="29"/>
      <c r="K820" s="99"/>
      <c r="L820" s="99"/>
      <c r="M820" s="99"/>
      <c r="N820" s="9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</row>
    <row r="821" ht="15.75" customHeight="1">
      <c r="A821" s="29"/>
      <c r="B821" s="98"/>
      <c r="C821" s="99"/>
      <c r="D821" s="29"/>
      <c r="E821" s="29"/>
      <c r="F821" s="99"/>
      <c r="G821" s="100"/>
      <c r="H821" s="29"/>
      <c r="I821" s="29"/>
      <c r="J821" s="29"/>
      <c r="K821" s="99"/>
      <c r="L821" s="99"/>
      <c r="M821" s="99"/>
      <c r="N821" s="9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</row>
    <row r="822" ht="15.75" customHeight="1">
      <c r="A822" s="29"/>
      <c r="B822" s="98"/>
      <c r="C822" s="99"/>
      <c r="D822" s="29"/>
      <c r="E822" s="29"/>
      <c r="F822" s="99"/>
      <c r="G822" s="100"/>
      <c r="H822" s="29"/>
      <c r="I822" s="29"/>
      <c r="J822" s="29"/>
      <c r="K822" s="99"/>
      <c r="L822" s="99"/>
      <c r="M822" s="99"/>
      <c r="N822" s="9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</row>
    <row r="823" ht="15.75" customHeight="1">
      <c r="A823" s="29"/>
      <c r="B823" s="98"/>
      <c r="C823" s="99"/>
      <c r="D823" s="29"/>
      <c r="E823" s="29"/>
      <c r="F823" s="99"/>
      <c r="G823" s="100"/>
      <c r="H823" s="29"/>
      <c r="I823" s="29"/>
      <c r="J823" s="29"/>
      <c r="K823" s="99"/>
      <c r="L823" s="99"/>
      <c r="M823" s="99"/>
      <c r="N823" s="9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</row>
    <row r="824" ht="15.75" customHeight="1">
      <c r="A824" s="29"/>
      <c r="B824" s="98"/>
      <c r="C824" s="99"/>
      <c r="D824" s="29"/>
      <c r="E824" s="29"/>
      <c r="F824" s="99"/>
      <c r="G824" s="100"/>
      <c r="H824" s="29"/>
      <c r="I824" s="29"/>
      <c r="J824" s="29"/>
      <c r="K824" s="99"/>
      <c r="L824" s="99"/>
      <c r="M824" s="99"/>
      <c r="N824" s="9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</row>
    <row r="825" ht="15.75" customHeight="1">
      <c r="A825" s="29"/>
      <c r="B825" s="98"/>
      <c r="C825" s="99"/>
      <c r="D825" s="29"/>
      <c r="E825" s="29"/>
      <c r="F825" s="99"/>
      <c r="G825" s="100"/>
      <c r="H825" s="29"/>
      <c r="I825" s="29"/>
      <c r="J825" s="29"/>
      <c r="K825" s="99"/>
      <c r="L825" s="99"/>
      <c r="M825" s="99"/>
      <c r="N825" s="9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</row>
    <row r="826" ht="15.75" customHeight="1">
      <c r="A826" s="29"/>
      <c r="B826" s="98"/>
      <c r="C826" s="99"/>
      <c r="D826" s="29"/>
      <c r="E826" s="29"/>
      <c r="F826" s="99"/>
      <c r="G826" s="100"/>
      <c r="H826" s="29"/>
      <c r="I826" s="29"/>
      <c r="J826" s="29"/>
      <c r="K826" s="99"/>
      <c r="L826" s="99"/>
      <c r="M826" s="99"/>
      <c r="N826" s="9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</row>
    <row r="827" ht="15.75" customHeight="1">
      <c r="A827" s="29"/>
      <c r="B827" s="98"/>
      <c r="C827" s="99"/>
      <c r="D827" s="29"/>
      <c r="E827" s="29"/>
      <c r="F827" s="99"/>
      <c r="G827" s="100"/>
      <c r="H827" s="29"/>
      <c r="I827" s="29"/>
      <c r="J827" s="29"/>
      <c r="K827" s="99"/>
      <c r="L827" s="99"/>
      <c r="M827" s="99"/>
      <c r="N827" s="9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</row>
    <row r="828" ht="15.75" customHeight="1">
      <c r="A828" s="29"/>
      <c r="B828" s="98"/>
      <c r="C828" s="99"/>
      <c r="D828" s="29"/>
      <c r="E828" s="29"/>
      <c r="F828" s="99"/>
      <c r="G828" s="100"/>
      <c r="H828" s="29"/>
      <c r="I828" s="29"/>
      <c r="J828" s="29"/>
      <c r="K828" s="99"/>
      <c r="L828" s="99"/>
      <c r="M828" s="99"/>
      <c r="N828" s="9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</row>
    <row r="829" ht="15.75" customHeight="1">
      <c r="A829" s="29"/>
      <c r="B829" s="98"/>
      <c r="C829" s="99"/>
      <c r="D829" s="29"/>
      <c r="E829" s="29"/>
      <c r="F829" s="99"/>
      <c r="G829" s="100"/>
      <c r="H829" s="29"/>
      <c r="I829" s="29"/>
      <c r="J829" s="29"/>
      <c r="K829" s="99"/>
      <c r="L829" s="99"/>
      <c r="M829" s="99"/>
      <c r="N829" s="9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</row>
    <row r="830" ht="15.75" customHeight="1">
      <c r="A830" s="29"/>
      <c r="B830" s="98"/>
      <c r="C830" s="99"/>
      <c r="D830" s="29"/>
      <c r="E830" s="29"/>
      <c r="F830" s="99"/>
      <c r="G830" s="100"/>
      <c r="H830" s="29"/>
      <c r="I830" s="29"/>
      <c r="J830" s="29"/>
      <c r="K830" s="99"/>
      <c r="L830" s="99"/>
      <c r="M830" s="99"/>
      <c r="N830" s="9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</row>
    <row r="831" ht="15.75" customHeight="1">
      <c r="A831" s="29"/>
      <c r="B831" s="98"/>
      <c r="C831" s="99"/>
      <c r="D831" s="29"/>
      <c r="E831" s="29"/>
      <c r="F831" s="99"/>
      <c r="G831" s="100"/>
      <c r="H831" s="29"/>
      <c r="I831" s="29"/>
      <c r="J831" s="29"/>
      <c r="K831" s="99"/>
      <c r="L831" s="99"/>
      <c r="M831" s="99"/>
      <c r="N831" s="9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</row>
    <row r="832" ht="15.75" customHeight="1">
      <c r="A832" s="29"/>
      <c r="B832" s="98"/>
      <c r="C832" s="99"/>
      <c r="D832" s="29"/>
      <c r="E832" s="29"/>
      <c r="F832" s="99"/>
      <c r="G832" s="100"/>
      <c r="H832" s="29"/>
      <c r="I832" s="29"/>
      <c r="J832" s="29"/>
      <c r="K832" s="99"/>
      <c r="L832" s="99"/>
      <c r="M832" s="99"/>
      <c r="N832" s="9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</row>
    <row r="833" ht="15.75" customHeight="1">
      <c r="A833" s="29"/>
      <c r="B833" s="98"/>
      <c r="C833" s="99"/>
      <c r="D833" s="29"/>
      <c r="E833" s="29"/>
      <c r="F833" s="99"/>
      <c r="G833" s="100"/>
      <c r="H833" s="29"/>
      <c r="I833" s="29"/>
      <c r="J833" s="29"/>
      <c r="K833" s="99"/>
      <c r="L833" s="99"/>
      <c r="M833" s="99"/>
      <c r="N833" s="9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</row>
    <row r="834" ht="15.75" customHeight="1">
      <c r="A834" s="29"/>
      <c r="B834" s="98"/>
      <c r="C834" s="99"/>
      <c r="D834" s="29"/>
      <c r="E834" s="29"/>
      <c r="F834" s="99"/>
      <c r="G834" s="100"/>
      <c r="H834" s="29"/>
      <c r="I834" s="29"/>
      <c r="J834" s="29"/>
      <c r="K834" s="99"/>
      <c r="L834" s="99"/>
      <c r="M834" s="99"/>
      <c r="N834" s="9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</row>
    <row r="835" ht="15.75" customHeight="1">
      <c r="A835" s="29"/>
      <c r="B835" s="98"/>
      <c r="C835" s="99"/>
      <c r="D835" s="29"/>
      <c r="E835" s="29"/>
      <c r="F835" s="99"/>
      <c r="G835" s="100"/>
      <c r="H835" s="29"/>
      <c r="I835" s="29"/>
      <c r="J835" s="29"/>
      <c r="K835" s="99"/>
      <c r="L835" s="99"/>
      <c r="M835" s="99"/>
      <c r="N835" s="9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</row>
    <row r="836" ht="15.75" customHeight="1">
      <c r="A836" s="29"/>
      <c r="B836" s="98"/>
      <c r="C836" s="99"/>
      <c r="D836" s="29"/>
      <c r="E836" s="29"/>
      <c r="F836" s="99"/>
      <c r="G836" s="100"/>
      <c r="H836" s="29"/>
      <c r="I836" s="29"/>
      <c r="J836" s="29"/>
      <c r="K836" s="99"/>
      <c r="L836" s="99"/>
      <c r="M836" s="99"/>
      <c r="N836" s="9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</row>
    <row r="837" ht="15.75" customHeight="1">
      <c r="A837" s="29"/>
      <c r="B837" s="98"/>
      <c r="C837" s="99"/>
      <c r="D837" s="29"/>
      <c r="E837" s="29"/>
      <c r="F837" s="99"/>
      <c r="G837" s="100"/>
      <c r="H837" s="29"/>
      <c r="I837" s="29"/>
      <c r="J837" s="29"/>
      <c r="K837" s="99"/>
      <c r="L837" s="99"/>
      <c r="M837" s="99"/>
      <c r="N837" s="9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</row>
    <row r="838" ht="15.75" customHeight="1">
      <c r="A838" s="29"/>
      <c r="B838" s="98"/>
      <c r="C838" s="99"/>
      <c r="D838" s="29"/>
      <c r="E838" s="29"/>
      <c r="F838" s="99"/>
      <c r="G838" s="100"/>
      <c r="H838" s="29"/>
      <c r="I838" s="29"/>
      <c r="J838" s="29"/>
      <c r="K838" s="99"/>
      <c r="L838" s="99"/>
      <c r="M838" s="99"/>
      <c r="N838" s="9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</row>
    <row r="839" ht="15.75" customHeight="1">
      <c r="A839" s="29"/>
      <c r="B839" s="98"/>
      <c r="C839" s="99"/>
      <c r="D839" s="29"/>
      <c r="E839" s="29"/>
      <c r="F839" s="99"/>
      <c r="G839" s="100"/>
      <c r="H839" s="29"/>
      <c r="I839" s="29"/>
      <c r="J839" s="29"/>
      <c r="K839" s="99"/>
      <c r="L839" s="99"/>
      <c r="M839" s="99"/>
      <c r="N839" s="9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</row>
    <row r="840" ht="15.75" customHeight="1">
      <c r="A840" s="29"/>
      <c r="B840" s="98"/>
      <c r="C840" s="99"/>
      <c r="D840" s="29"/>
      <c r="E840" s="29"/>
      <c r="F840" s="99"/>
      <c r="G840" s="100"/>
      <c r="H840" s="29"/>
      <c r="I840" s="29"/>
      <c r="J840" s="29"/>
      <c r="K840" s="99"/>
      <c r="L840" s="99"/>
      <c r="M840" s="99"/>
      <c r="N840" s="9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</row>
    <row r="841" ht="15.75" customHeight="1">
      <c r="A841" s="29"/>
      <c r="B841" s="98"/>
      <c r="C841" s="99"/>
      <c r="D841" s="29"/>
      <c r="E841" s="29"/>
      <c r="F841" s="99"/>
      <c r="G841" s="100"/>
      <c r="H841" s="29"/>
      <c r="I841" s="29"/>
      <c r="J841" s="29"/>
      <c r="K841" s="99"/>
      <c r="L841" s="99"/>
      <c r="M841" s="99"/>
      <c r="N841" s="9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</row>
    <row r="842" ht="15.75" customHeight="1">
      <c r="A842" s="29"/>
      <c r="B842" s="98"/>
      <c r="C842" s="99"/>
      <c r="D842" s="29"/>
      <c r="E842" s="29"/>
      <c r="F842" s="99"/>
      <c r="G842" s="100"/>
      <c r="H842" s="29"/>
      <c r="I842" s="29"/>
      <c r="J842" s="29"/>
      <c r="K842" s="99"/>
      <c r="L842" s="99"/>
      <c r="M842" s="99"/>
      <c r="N842" s="9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</row>
    <row r="843" ht="15.75" customHeight="1">
      <c r="A843" s="29"/>
      <c r="B843" s="98"/>
      <c r="C843" s="99"/>
      <c r="D843" s="29"/>
      <c r="E843" s="29"/>
      <c r="F843" s="99"/>
      <c r="G843" s="100"/>
      <c r="H843" s="29"/>
      <c r="I843" s="29"/>
      <c r="J843" s="29"/>
      <c r="K843" s="99"/>
      <c r="L843" s="99"/>
      <c r="M843" s="99"/>
      <c r="N843" s="9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</row>
    <row r="844" ht="15.75" customHeight="1">
      <c r="A844" s="29"/>
      <c r="B844" s="98"/>
      <c r="C844" s="99"/>
      <c r="D844" s="29"/>
      <c r="E844" s="29"/>
      <c r="F844" s="99"/>
      <c r="G844" s="100"/>
      <c r="H844" s="29"/>
      <c r="I844" s="29"/>
      <c r="J844" s="29"/>
      <c r="K844" s="99"/>
      <c r="L844" s="99"/>
      <c r="M844" s="99"/>
      <c r="N844" s="9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</row>
    <row r="845" ht="15.75" customHeight="1">
      <c r="A845" s="29"/>
      <c r="B845" s="98"/>
      <c r="C845" s="99"/>
      <c r="D845" s="29"/>
      <c r="E845" s="29"/>
      <c r="F845" s="99"/>
      <c r="G845" s="100"/>
      <c r="H845" s="29"/>
      <c r="I845" s="29"/>
      <c r="J845" s="29"/>
      <c r="K845" s="99"/>
      <c r="L845" s="99"/>
      <c r="M845" s="99"/>
      <c r="N845" s="9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</row>
    <row r="846" ht="15.75" customHeight="1">
      <c r="A846" s="29"/>
      <c r="B846" s="98"/>
      <c r="C846" s="99"/>
      <c r="D846" s="29"/>
      <c r="E846" s="29"/>
      <c r="F846" s="99"/>
      <c r="G846" s="100"/>
      <c r="H846" s="29"/>
      <c r="I846" s="29"/>
      <c r="J846" s="29"/>
      <c r="K846" s="99"/>
      <c r="L846" s="99"/>
      <c r="M846" s="99"/>
      <c r="N846" s="9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</row>
    <row r="847" ht="15.75" customHeight="1">
      <c r="A847" s="29"/>
      <c r="B847" s="98"/>
      <c r="C847" s="99"/>
      <c r="D847" s="29"/>
      <c r="E847" s="29"/>
      <c r="F847" s="99"/>
      <c r="G847" s="100"/>
      <c r="H847" s="29"/>
      <c r="I847" s="29"/>
      <c r="J847" s="29"/>
      <c r="K847" s="99"/>
      <c r="L847" s="99"/>
      <c r="M847" s="99"/>
      <c r="N847" s="9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</row>
    <row r="848" ht="15.75" customHeight="1">
      <c r="A848" s="29"/>
      <c r="B848" s="98"/>
      <c r="C848" s="99"/>
      <c r="D848" s="29"/>
      <c r="E848" s="29"/>
      <c r="F848" s="99"/>
      <c r="G848" s="100"/>
      <c r="H848" s="29"/>
      <c r="I848" s="29"/>
      <c r="J848" s="29"/>
      <c r="K848" s="99"/>
      <c r="L848" s="99"/>
      <c r="M848" s="99"/>
      <c r="N848" s="9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</row>
    <row r="849" ht="15.75" customHeight="1">
      <c r="A849" s="29"/>
      <c r="B849" s="98"/>
      <c r="C849" s="99"/>
      <c r="D849" s="29"/>
      <c r="E849" s="29"/>
      <c r="F849" s="99"/>
      <c r="G849" s="100"/>
      <c r="H849" s="29"/>
      <c r="I849" s="29"/>
      <c r="J849" s="29"/>
      <c r="K849" s="99"/>
      <c r="L849" s="99"/>
      <c r="M849" s="99"/>
      <c r="N849" s="9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</row>
    <row r="850" ht="15.75" customHeight="1">
      <c r="A850" s="29"/>
      <c r="B850" s="98"/>
      <c r="C850" s="99"/>
      <c r="D850" s="29"/>
      <c r="E850" s="29"/>
      <c r="F850" s="99"/>
      <c r="G850" s="100"/>
      <c r="H850" s="29"/>
      <c r="I850" s="29"/>
      <c r="J850" s="29"/>
      <c r="K850" s="99"/>
      <c r="L850" s="99"/>
      <c r="M850" s="99"/>
      <c r="N850" s="9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</row>
    <row r="851" ht="15.75" customHeight="1">
      <c r="A851" s="29"/>
      <c r="B851" s="98"/>
      <c r="C851" s="99"/>
      <c r="D851" s="29"/>
      <c r="E851" s="29"/>
      <c r="F851" s="99"/>
      <c r="G851" s="100"/>
      <c r="H851" s="29"/>
      <c r="I851" s="29"/>
      <c r="J851" s="29"/>
      <c r="K851" s="99"/>
      <c r="L851" s="99"/>
      <c r="M851" s="99"/>
      <c r="N851" s="9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</row>
    <row r="852" ht="15.75" customHeight="1">
      <c r="A852" s="29"/>
      <c r="B852" s="98"/>
      <c r="C852" s="99"/>
      <c r="D852" s="29"/>
      <c r="E852" s="29"/>
      <c r="F852" s="99"/>
      <c r="G852" s="100"/>
      <c r="H852" s="29"/>
      <c r="I852" s="29"/>
      <c r="J852" s="29"/>
      <c r="K852" s="99"/>
      <c r="L852" s="99"/>
      <c r="M852" s="99"/>
      <c r="N852" s="9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</row>
    <row r="853" ht="15.75" customHeight="1">
      <c r="A853" s="29"/>
      <c r="B853" s="98"/>
      <c r="C853" s="99"/>
      <c r="D853" s="29"/>
      <c r="E853" s="29"/>
      <c r="F853" s="99"/>
      <c r="G853" s="100"/>
      <c r="H853" s="29"/>
      <c r="I853" s="29"/>
      <c r="J853" s="29"/>
      <c r="K853" s="99"/>
      <c r="L853" s="99"/>
      <c r="M853" s="99"/>
      <c r="N853" s="9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</row>
    <row r="854" ht="15.75" customHeight="1">
      <c r="A854" s="29"/>
      <c r="B854" s="98"/>
      <c r="C854" s="99"/>
      <c r="D854" s="29"/>
      <c r="E854" s="29"/>
      <c r="F854" s="99"/>
      <c r="G854" s="100"/>
      <c r="H854" s="29"/>
      <c r="I854" s="29"/>
      <c r="J854" s="29"/>
      <c r="K854" s="99"/>
      <c r="L854" s="99"/>
      <c r="M854" s="99"/>
      <c r="N854" s="9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</row>
    <row r="855" ht="15.75" customHeight="1">
      <c r="A855" s="29"/>
      <c r="B855" s="98"/>
      <c r="C855" s="99"/>
      <c r="D855" s="29"/>
      <c r="E855" s="29"/>
      <c r="F855" s="99"/>
      <c r="G855" s="100"/>
      <c r="H855" s="29"/>
      <c r="I855" s="29"/>
      <c r="J855" s="29"/>
      <c r="K855" s="99"/>
      <c r="L855" s="99"/>
      <c r="M855" s="99"/>
      <c r="N855" s="9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</row>
    <row r="856" ht="15.75" customHeight="1">
      <c r="A856" s="29"/>
      <c r="B856" s="98"/>
      <c r="C856" s="99"/>
      <c r="D856" s="29"/>
      <c r="E856" s="29"/>
      <c r="F856" s="99"/>
      <c r="G856" s="100"/>
      <c r="H856" s="29"/>
      <c r="I856" s="29"/>
      <c r="J856" s="29"/>
      <c r="K856" s="99"/>
      <c r="L856" s="99"/>
      <c r="M856" s="99"/>
      <c r="N856" s="9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</row>
    <row r="857" ht="15.75" customHeight="1">
      <c r="A857" s="29"/>
      <c r="B857" s="98"/>
      <c r="C857" s="99"/>
      <c r="D857" s="29"/>
      <c r="E857" s="29"/>
      <c r="F857" s="99"/>
      <c r="G857" s="100"/>
      <c r="H857" s="29"/>
      <c r="I857" s="29"/>
      <c r="J857" s="29"/>
      <c r="K857" s="99"/>
      <c r="L857" s="99"/>
      <c r="M857" s="99"/>
      <c r="N857" s="9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</row>
    <row r="858" ht="15.75" customHeight="1">
      <c r="A858" s="29"/>
      <c r="B858" s="98"/>
      <c r="C858" s="99"/>
      <c r="D858" s="29"/>
      <c r="E858" s="29"/>
      <c r="F858" s="99"/>
      <c r="G858" s="100"/>
      <c r="H858" s="29"/>
      <c r="I858" s="29"/>
      <c r="J858" s="29"/>
      <c r="K858" s="99"/>
      <c r="L858" s="99"/>
      <c r="M858" s="99"/>
      <c r="N858" s="9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</row>
    <row r="859" ht="15.75" customHeight="1">
      <c r="A859" s="29"/>
      <c r="B859" s="98"/>
      <c r="C859" s="99"/>
      <c r="D859" s="29"/>
      <c r="E859" s="29"/>
      <c r="F859" s="99"/>
      <c r="G859" s="100"/>
      <c r="H859" s="29"/>
      <c r="I859" s="29"/>
      <c r="J859" s="29"/>
      <c r="K859" s="99"/>
      <c r="L859" s="99"/>
      <c r="M859" s="99"/>
      <c r="N859" s="9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</row>
    <row r="860" ht="15.75" customHeight="1">
      <c r="A860" s="29"/>
      <c r="B860" s="98"/>
      <c r="C860" s="99"/>
      <c r="D860" s="29"/>
      <c r="E860" s="29"/>
      <c r="F860" s="99"/>
      <c r="G860" s="100"/>
      <c r="H860" s="29"/>
      <c r="I860" s="29"/>
      <c r="J860" s="29"/>
      <c r="K860" s="99"/>
      <c r="L860" s="99"/>
      <c r="M860" s="99"/>
      <c r="N860" s="9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</row>
    <row r="861" ht="15.75" customHeight="1">
      <c r="A861" s="29"/>
      <c r="B861" s="98"/>
      <c r="C861" s="99"/>
      <c r="D861" s="29"/>
      <c r="E861" s="29"/>
      <c r="F861" s="99"/>
      <c r="G861" s="100"/>
      <c r="H861" s="29"/>
      <c r="I861" s="29"/>
      <c r="J861" s="29"/>
      <c r="K861" s="99"/>
      <c r="L861" s="99"/>
      <c r="M861" s="99"/>
      <c r="N861" s="9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</row>
    <row r="862" ht="15.75" customHeight="1">
      <c r="A862" s="29"/>
      <c r="B862" s="98"/>
      <c r="C862" s="99"/>
      <c r="D862" s="29"/>
      <c r="E862" s="29"/>
      <c r="F862" s="99"/>
      <c r="G862" s="100"/>
      <c r="H862" s="29"/>
      <c r="I862" s="29"/>
      <c r="J862" s="29"/>
      <c r="K862" s="99"/>
      <c r="L862" s="99"/>
      <c r="M862" s="99"/>
      <c r="N862" s="9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</row>
    <row r="863" ht="15.75" customHeight="1">
      <c r="A863" s="29"/>
      <c r="B863" s="98"/>
      <c r="C863" s="99"/>
      <c r="D863" s="29"/>
      <c r="E863" s="29"/>
      <c r="F863" s="99"/>
      <c r="G863" s="100"/>
      <c r="H863" s="29"/>
      <c r="I863" s="29"/>
      <c r="J863" s="29"/>
      <c r="K863" s="99"/>
      <c r="L863" s="99"/>
      <c r="M863" s="99"/>
      <c r="N863" s="9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</row>
    <row r="864" ht="15.75" customHeight="1">
      <c r="A864" s="29"/>
      <c r="B864" s="98"/>
      <c r="C864" s="99"/>
      <c r="D864" s="29"/>
      <c r="E864" s="29"/>
      <c r="F864" s="99"/>
      <c r="G864" s="100"/>
      <c r="H864" s="29"/>
      <c r="I864" s="29"/>
      <c r="J864" s="29"/>
      <c r="K864" s="99"/>
      <c r="L864" s="99"/>
      <c r="M864" s="99"/>
      <c r="N864" s="9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</row>
    <row r="865" ht="15.75" customHeight="1">
      <c r="A865" s="29"/>
      <c r="B865" s="98"/>
      <c r="C865" s="99"/>
      <c r="D865" s="29"/>
      <c r="E865" s="29"/>
      <c r="F865" s="99"/>
      <c r="G865" s="100"/>
      <c r="H865" s="29"/>
      <c r="I865" s="29"/>
      <c r="J865" s="29"/>
      <c r="K865" s="99"/>
      <c r="L865" s="99"/>
      <c r="M865" s="99"/>
      <c r="N865" s="9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</row>
    <row r="866" ht="15.75" customHeight="1">
      <c r="A866" s="29"/>
      <c r="B866" s="98"/>
      <c r="C866" s="99"/>
      <c r="D866" s="29"/>
      <c r="E866" s="29"/>
      <c r="F866" s="99"/>
      <c r="G866" s="100"/>
      <c r="H866" s="29"/>
      <c r="I866" s="29"/>
      <c r="J866" s="29"/>
      <c r="K866" s="99"/>
      <c r="L866" s="99"/>
      <c r="M866" s="99"/>
      <c r="N866" s="9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</row>
    <row r="867" ht="15.75" customHeight="1">
      <c r="A867" s="29"/>
      <c r="B867" s="98"/>
      <c r="C867" s="99"/>
      <c r="D867" s="29"/>
      <c r="E867" s="29"/>
      <c r="F867" s="99"/>
      <c r="G867" s="100"/>
      <c r="H867" s="29"/>
      <c r="I867" s="29"/>
      <c r="J867" s="29"/>
      <c r="K867" s="99"/>
      <c r="L867" s="99"/>
      <c r="M867" s="99"/>
      <c r="N867" s="9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</row>
    <row r="868" ht="15.75" customHeight="1">
      <c r="A868" s="29"/>
      <c r="B868" s="98"/>
      <c r="C868" s="99"/>
      <c r="D868" s="29"/>
      <c r="E868" s="29"/>
      <c r="F868" s="99"/>
      <c r="G868" s="100"/>
      <c r="H868" s="29"/>
      <c r="I868" s="29"/>
      <c r="J868" s="29"/>
      <c r="K868" s="99"/>
      <c r="L868" s="99"/>
      <c r="M868" s="99"/>
      <c r="N868" s="9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</row>
    <row r="869" ht="15.75" customHeight="1">
      <c r="A869" s="29"/>
      <c r="B869" s="98"/>
      <c r="C869" s="99"/>
      <c r="D869" s="29"/>
      <c r="E869" s="29"/>
      <c r="F869" s="99"/>
      <c r="G869" s="100"/>
      <c r="H869" s="29"/>
      <c r="I869" s="29"/>
      <c r="J869" s="29"/>
      <c r="K869" s="99"/>
      <c r="L869" s="99"/>
      <c r="M869" s="99"/>
      <c r="N869" s="9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</row>
    <row r="870" ht="15.75" customHeight="1">
      <c r="A870" s="29"/>
      <c r="B870" s="98"/>
      <c r="C870" s="99"/>
      <c r="D870" s="29"/>
      <c r="E870" s="29"/>
      <c r="F870" s="99"/>
      <c r="G870" s="100"/>
      <c r="H870" s="29"/>
      <c r="I870" s="29"/>
      <c r="J870" s="29"/>
      <c r="K870" s="99"/>
      <c r="L870" s="99"/>
      <c r="M870" s="99"/>
      <c r="N870" s="9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</row>
    <row r="871" ht="15.75" customHeight="1">
      <c r="A871" s="29"/>
      <c r="B871" s="98"/>
      <c r="C871" s="99"/>
      <c r="D871" s="29"/>
      <c r="E871" s="29"/>
      <c r="F871" s="99"/>
      <c r="G871" s="100"/>
      <c r="H871" s="29"/>
      <c r="I871" s="29"/>
      <c r="J871" s="29"/>
      <c r="K871" s="99"/>
      <c r="L871" s="99"/>
      <c r="M871" s="99"/>
      <c r="N871" s="9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</row>
    <row r="872" ht="15.75" customHeight="1">
      <c r="A872" s="29"/>
      <c r="B872" s="98"/>
      <c r="C872" s="99"/>
      <c r="D872" s="29"/>
      <c r="E872" s="29"/>
      <c r="F872" s="99"/>
      <c r="G872" s="100"/>
      <c r="H872" s="29"/>
      <c r="I872" s="29"/>
      <c r="J872" s="29"/>
      <c r="K872" s="99"/>
      <c r="L872" s="99"/>
      <c r="M872" s="99"/>
      <c r="N872" s="9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</row>
    <row r="873" ht="15.75" customHeight="1">
      <c r="A873" s="29"/>
      <c r="B873" s="98"/>
      <c r="C873" s="99"/>
      <c r="D873" s="29"/>
      <c r="E873" s="29"/>
      <c r="F873" s="99"/>
      <c r="G873" s="100"/>
      <c r="H873" s="29"/>
      <c r="I873" s="29"/>
      <c r="J873" s="29"/>
      <c r="K873" s="99"/>
      <c r="L873" s="99"/>
      <c r="M873" s="99"/>
      <c r="N873" s="9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</row>
    <row r="874" ht="15.75" customHeight="1">
      <c r="A874" s="29"/>
      <c r="B874" s="98"/>
      <c r="C874" s="99"/>
      <c r="D874" s="29"/>
      <c r="E874" s="29"/>
      <c r="F874" s="99"/>
      <c r="G874" s="100"/>
      <c r="H874" s="29"/>
      <c r="I874" s="29"/>
      <c r="J874" s="29"/>
      <c r="K874" s="99"/>
      <c r="L874" s="99"/>
      <c r="M874" s="99"/>
      <c r="N874" s="9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</row>
    <row r="875" ht="15.75" customHeight="1">
      <c r="A875" s="29"/>
      <c r="B875" s="98"/>
      <c r="C875" s="99"/>
      <c r="D875" s="29"/>
      <c r="E875" s="29"/>
      <c r="F875" s="99"/>
      <c r="G875" s="100"/>
      <c r="H875" s="29"/>
      <c r="I875" s="29"/>
      <c r="J875" s="29"/>
      <c r="K875" s="99"/>
      <c r="L875" s="99"/>
      <c r="M875" s="99"/>
      <c r="N875" s="9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</row>
    <row r="876" ht="15.75" customHeight="1">
      <c r="A876" s="29"/>
      <c r="B876" s="98"/>
      <c r="C876" s="99"/>
      <c r="D876" s="29"/>
      <c r="E876" s="29"/>
      <c r="F876" s="99"/>
      <c r="G876" s="100"/>
      <c r="H876" s="29"/>
      <c r="I876" s="29"/>
      <c r="J876" s="29"/>
      <c r="K876" s="99"/>
      <c r="L876" s="99"/>
      <c r="M876" s="99"/>
      <c r="N876" s="9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</row>
    <row r="877" ht="15.75" customHeight="1">
      <c r="A877" s="29"/>
      <c r="B877" s="98"/>
      <c r="C877" s="99"/>
      <c r="D877" s="29"/>
      <c r="E877" s="29"/>
      <c r="F877" s="99"/>
      <c r="G877" s="100"/>
      <c r="H877" s="29"/>
      <c r="I877" s="29"/>
      <c r="J877" s="29"/>
      <c r="K877" s="99"/>
      <c r="L877" s="99"/>
      <c r="M877" s="99"/>
      <c r="N877" s="9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</row>
    <row r="878" ht="15.75" customHeight="1">
      <c r="A878" s="29"/>
      <c r="B878" s="98"/>
      <c r="C878" s="99"/>
      <c r="D878" s="29"/>
      <c r="E878" s="29"/>
      <c r="F878" s="99"/>
      <c r="G878" s="100"/>
      <c r="H878" s="29"/>
      <c r="I878" s="29"/>
      <c r="J878" s="29"/>
      <c r="K878" s="99"/>
      <c r="L878" s="99"/>
      <c r="M878" s="99"/>
      <c r="N878" s="9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</row>
    <row r="879" ht="15.75" customHeight="1">
      <c r="A879" s="29"/>
      <c r="B879" s="98"/>
      <c r="C879" s="99"/>
      <c r="D879" s="29"/>
      <c r="E879" s="29"/>
      <c r="F879" s="99"/>
      <c r="G879" s="100"/>
      <c r="H879" s="29"/>
      <c r="I879" s="29"/>
      <c r="J879" s="29"/>
      <c r="K879" s="99"/>
      <c r="L879" s="99"/>
      <c r="M879" s="99"/>
      <c r="N879" s="9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</row>
    <row r="880" ht="15.75" customHeight="1">
      <c r="A880" s="29"/>
      <c r="B880" s="98"/>
      <c r="C880" s="99"/>
      <c r="D880" s="29"/>
      <c r="E880" s="29"/>
      <c r="F880" s="99"/>
      <c r="G880" s="100"/>
      <c r="H880" s="29"/>
      <c r="I880" s="29"/>
      <c r="J880" s="29"/>
      <c r="K880" s="99"/>
      <c r="L880" s="99"/>
      <c r="M880" s="99"/>
      <c r="N880" s="9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</row>
    <row r="881" ht="15.75" customHeight="1">
      <c r="A881" s="29"/>
      <c r="B881" s="98"/>
      <c r="C881" s="99"/>
      <c r="D881" s="29"/>
      <c r="E881" s="29"/>
      <c r="F881" s="99"/>
      <c r="G881" s="100"/>
      <c r="H881" s="29"/>
      <c r="I881" s="29"/>
      <c r="J881" s="29"/>
      <c r="K881" s="99"/>
      <c r="L881" s="99"/>
      <c r="M881" s="99"/>
      <c r="N881" s="9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</row>
    <row r="882" ht="15.75" customHeight="1">
      <c r="A882" s="29"/>
      <c r="B882" s="98"/>
      <c r="C882" s="99"/>
      <c r="D882" s="29"/>
      <c r="E882" s="29"/>
      <c r="F882" s="99"/>
      <c r="G882" s="100"/>
      <c r="H882" s="29"/>
      <c r="I882" s="29"/>
      <c r="J882" s="29"/>
      <c r="K882" s="99"/>
      <c r="L882" s="99"/>
      <c r="M882" s="99"/>
      <c r="N882" s="9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</row>
    <row r="883" ht="15.75" customHeight="1">
      <c r="A883" s="29"/>
      <c r="B883" s="98"/>
      <c r="C883" s="99"/>
      <c r="D883" s="29"/>
      <c r="E883" s="29"/>
      <c r="F883" s="99"/>
      <c r="G883" s="100"/>
      <c r="H883" s="29"/>
      <c r="I883" s="29"/>
      <c r="J883" s="29"/>
      <c r="K883" s="99"/>
      <c r="L883" s="99"/>
      <c r="M883" s="99"/>
      <c r="N883" s="9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</row>
    <row r="884" ht="15.75" customHeight="1">
      <c r="A884" s="29"/>
      <c r="B884" s="98"/>
      <c r="C884" s="99"/>
      <c r="D884" s="29"/>
      <c r="E884" s="29"/>
      <c r="F884" s="99"/>
      <c r="G884" s="100"/>
      <c r="H884" s="29"/>
      <c r="I884" s="29"/>
      <c r="J884" s="29"/>
      <c r="K884" s="99"/>
      <c r="L884" s="99"/>
      <c r="M884" s="99"/>
      <c r="N884" s="9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</row>
    <row r="885" ht="15.75" customHeight="1">
      <c r="A885" s="29"/>
      <c r="B885" s="98"/>
      <c r="C885" s="99"/>
      <c r="D885" s="29"/>
      <c r="E885" s="29"/>
      <c r="F885" s="99"/>
      <c r="G885" s="100"/>
      <c r="H885" s="29"/>
      <c r="I885" s="29"/>
      <c r="J885" s="29"/>
      <c r="K885" s="99"/>
      <c r="L885" s="99"/>
      <c r="M885" s="99"/>
      <c r="N885" s="9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</row>
    <row r="886" ht="15.75" customHeight="1">
      <c r="A886" s="29"/>
      <c r="B886" s="98"/>
      <c r="C886" s="99"/>
      <c r="D886" s="29"/>
      <c r="E886" s="29"/>
      <c r="F886" s="99"/>
      <c r="G886" s="100"/>
      <c r="H886" s="29"/>
      <c r="I886" s="29"/>
      <c r="J886" s="29"/>
      <c r="K886" s="99"/>
      <c r="L886" s="99"/>
      <c r="M886" s="99"/>
      <c r="N886" s="9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</row>
    <row r="887" ht="15.75" customHeight="1">
      <c r="A887" s="29"/>
      <c r="B887" s="98"/>
      <c r="C887" s="99"/>
      <c r="D887" s="29"/>
      <c r="E887" s="29"/>
      <c r="F887" s="99"/>
      <c r="G887" s="100"/>
      <c r="H887" s="29"/>
      <c r="I887" s="29"/>
      <c r="J887" s="29"/>
      <c r="K887" s="99"/>
      <c r="L887" s="99"/>
      <c r="M887" s="99"/>
      <c r="N887" s="9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</row>
    <row r="888" ht="15.75" customHeight="1">
      <c r="A888" s="29"/>
      <c r="B888" s="98"/>
      <c r="C888" s="99"/>
      <c r="D888" s="29"/>
      <c r="E888" s="29"/>
      <c r="F888" s="99"/>
      <c r="G888" s="100"/>
      <c r="H888" s="29"/>
      <c r="I888" s="29"/>
      <c r="J888" s="29"/>
      <c r="K888" s="99"/>
      <c r="L888" s="99"/>
      <c r="M888" s="99"/>
      <c r="N888" s="9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</row>
    <row r="889" ht="15.75" customHeight="1">
      <c r="A889" s="29"/>
      <c r="B889" s="98"/>
      <c r="C889" s="99"/>
      <c r="D889" s="29"/>
      <c r="E889" s="29"/>
      <c r="F889" s="99"/>
      <c r="G889" s="100"/>
      <c r="H889" s="29"/>
      <c r="I889" s="29"/>
      <c r="J889" s="29"/>
      <c r="K889" s="99"/>
      <c r="L889" s="99"/>
      <c r="M889" s="99"/>
      <c r="N889" s="9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</row>
    <row r="890" ht="15.75" customHeight="1">
      <c r="A890" s="29"/>
      <c r="B890" s="98"/>
      <c r="C890" s="99"/>
      <c r="D890" s="29"/>
      <c r="E890" s="29"/>
      <c r="F890" s="99"/>
      <c r="G890" s="100"/>
      <c r="H890" s="29"/>
      <c r="I890" s="29"/>
      <c r="J890" s="29"/>
      <c r="K890" s="99"/>
      <c r="L890" s="99"/>
      <c r="M890" s="99"/>
      <c r="N890" s="9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</row>
    <row r="891" ht="15.75" customHeight="1">
      <c r="A891" s="29"/>
      <c r="B891" s="98"/>
      <c r="C891" s="99"/>
      <c r="D891" s="29"/>
      <c r="E891" s="29"/>
      <c r="F891" s="99"/>
      <c r="G891" s="100"/>
      <c r="H891" s="29"/>
      <c r="I891" s="29"/>
      <c r="J891" s="29"/>
      <c r="K891" s="99"/>
      <c r="L891" s="99"/>
      <c r="M891" s="99"/>
      <c r="N891" s="9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</row>
    <row r="892" ht="15.75" customHeight="1">
      <c r="A892" s="29"/>
      <c r="B892" s="98"/>
      <c r="C892" s="99"/>
      <c r="D892" s="29"/>
      <c r="E892" s="29"/>
      <c r="F892" s="99"/>
      <c r="G892" s="100"/>
      <c r="H892" s="29"/>
      <c r="I892" s="29"/>
      <c r="J892" s="29"/>
      <c r="K892" s="99"/>
      <c r="L892" s="99"/>
      <c r="M892" s="99"/>
      <c r="N892" s="9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</row>
    <row r="893" ht="15.75" customHeight="1">
      <c r="A893" s="29"/>
      <c r="B893" s="98"/>
      <c r="C893" s="99"/>
      <c r="D893" s="29"/>
      <c r="E893" s="29"/>
      <c r="F893" s="99"/>
      <c r="G893" s="100"/>
      <c r="H893" s="29"/>
      <c r="I893" s="29"/>
      <c r="J893" s="29"/>
      <c r="K893" s="99"/>
      <c r="L893" s="99"/>
      <c r="M893" s="99"/>
      <c r="N893" s="9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</row>
    <row r="894" ht="15.75" customHeight="1">
      <c r="A894" s="29"/>
      <c r="B894" s="98"/>
      <c r="C894" s="99"/>
      <c r="D894" s="29"/>
      <c r="E894" s="29"/>
      <c r="F894" s="99"/>
      <c r="G894" s="100"/>
      <c r="H894" s="29"/>
      <c r="I894" s="29"/>
      <c r="J894" s="29"/>
      <c r="K894" s="99"/>
      <c r="L894" s="99"/>
      <c r="M894" s="99"/>
      <c r="N894" s="9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</row>
    <row r="895" ht="15.75" customHeight="1">
      <c r="A895" s="29"/>
      <c r="B895" s="98"/>
      <c r="C895" s="99"/>
      <c r="D895" s="29"/>
      <c r="E895" s="29"/>
      <c r="F895" s="99"/>
      <c r="G895" s="100"/>
      <c r="H895" s="29"/>
      <c r="I895" s="29"/>
      <c r="J895" s="29"/>
      <c r="K895" s="99"/>
      <c r="L895" s="99"/>
      <c r="M895" s="99"/>
      <c r="N895" s="9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</row>
    <row r="896" ht="15.75" customHeight="1">
      <c r="A896" s="29"/>
      <c r="B896" s="98"/>
      <c r="C896" s="99"/>
      <c r="D896" s="29"/>
      <c r="E896" s="29"/>
      <c r="F896" s="99"/>
      <c r="G896" s="100"/>
      <c r="H896" s="29"/>
      <c r="I896" s="29"/>
      <c r="J896" s="29"/>
      <c r="K896" s="99"/>
      <c r="L896" s="99"/>
      <c r="M896" s="99"/>
      <c r="N896" s="9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</row>
    <row r="897" ht="15.75" customHeight="1">
      <c r="A897" s="29"/>
      <c r="B897" s="98"/>
      <c r="C897" s="99"/>
      <c r="D897" s="29"/>
      <c r="E897" s="29"/>
      <c r="F897" s="99"/>
      <c r="G897" s="100"/>
      <c r="H897" s="29"/>
      <c r="I897" s="29"/>
      <c r="J897" s="29"/>
      <c r="K897" s="99"/>
      <c r="L897" s="99"/>
      <c r="M897" s="99"/>
      <c r="N897" s="9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</row>
    <row r="898" ht="15.75" customHeight="1">
      <c r="A898" s="29"/>
      <c r="B898" s="98"/>
      <c r="C898" s="99"/>
      <c r="D898" s="29"/>
      <c r="E898" s="29"/>
      <c r="F898" s="99"/>
      <c r="G898" s="100"/>
      <c r="H898" s="29"/>
      <c r="I898" s="29"/>
      <c r="J898" s="29"/>
      <c r="K898" s="99"/>
      <c r="L898" s="99"/>
      <c r="M898" s="99"/>
      <c r="N898" s="9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</row>
    <row r="899" ht="15.75" customHeight="1">
      <c r="A899" s="29"/>
      <c r="B899" s="98"/>
      <c r="C899" s="99"/>
      <c r="D899" s="29"/>
      <c r="E899" s="29"/>
      <c r="F899" s="99"/>
      <c r="G899" s="100"/>
      <c r="H899" s="29"/>
      <c r="I899" s="29"/>
      <c r="J899" s="29"/>
      <c r="K899" s="99"/>
      <c r="L899" s="99"/>
      <c r="M899" s="99"/>
      <c r="N899" s="9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</row>
    <row r="900" ht="15.75" customHeight="1">
      <c r="A900" s="29"/>
      <c r="B900" s="98"/>
      <c r="C900" s="99"/>
      <c r="D900" s="29"/>
      <c r="E900" s="29"/>
      <c r="F900" s="99"/>
      <c r="G900" s="100"/>
      <c r="H900" s="29"/>
      <c r="I900" s="29"/>
      <c r="J900" s="29"/>
      <c r="K900" s="99"/>
      <c r="L900" s="99"/>
      <c r="M900" s="99"/>
      <c r="N900" s="9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</row>
    <row r="901" ht="15.75" customHeight="1">
      <c r="A901" s="29"/>
      <c r="B901" s="98"/>
      <c r="C901" s="99"/>
      <c r="D901" s="29"/>
      <c r="E901" s="29"/>
      <c r="F901" s="99"/>
      <c r="G901" s="100"/>
      <c r="H901" s="29"/>
      <c r="I901" s="29"/>
      <c r="J901" s="29"/>
      <c r="K901" s="99"/>
      <c r="L901" s="99"/>
      <c r="M901" s="99"/>
      <c r="N901" s="9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</row>
    <row r="902" ht="15.75" customHeight="1">
      <c r="A902" s="29"/>
      <c r="B902" s="98"/>
      <c r="C902" s="99"/>
      <c r="D902" s="29"/>
      <c r="E902" s="29"/>
      <c r="F902" s="99"/>
      <c r="G902" s="100"/>
      <c r="H902" s="29"/>
      <c r="I902" s="29"/>
      <c r="J902" s="29"/>
      <c r="K902" s="99"/>
      <c r="L902" s="99"/>
      <c r="M902" s="99"/>
      <c r="N902" s="9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</row>
    <row r="903" ht="15.75" customHeight="1">
      <c r="A903" s="29"/>
      <c r="B903" s="98"/>
      <c r="C903" s="99"/>
      <c r="D903" s="29"/>
      <c r="E903" s="29"/>
      <c r="F903" s="99"/>
      <c r="G903" s="100"/>
      <c r="H903" s="29"/>
      <c r="I903" s="29"/>
      <c r="J903" s="29"/>
      <c r="K903" s="99"/>
      <c r="L903" s="99"/>
      <c r="M903" s="99"/>
      <c r="N903" s="9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</row>
    <row r="904" ht="15.75" customHeight="1">
      <c r="A904" s="29"/>
      <c r="B904" s="98"/>
      <c r="C904" s="99"/>
      <c r="D904" s="29"/>
      <c r="E904" s="29"/>
      <c r="F904" s="99"/>
      <c r="G904" s="100"/>
      <c r="H904" s="29"/>
      <c r="I904" s="29"/>
      <c r="J904" s="29"/>
      <c r="K904" s="99"/>
      <c r="L904" s="99"/>
      <c r="M904" s="99"/>
      <c r="N904" s="9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</row>
    <row r="905" ht="15.75" customHeight="1">
      <c r="A905" s="29"/>
      <c r="B905" s="98"/>
      <c r="C905" s="99"/>
      <c r="D905" s="29"/>
      <c r="E905" s="29"/>
      <c r="F905" s="99"/>
      <c r="G905" s="100"/>
      <c r="H905" s="29"/>
      <c r="I905" s="29"/>
      <c r="J905" s="29"/>
      <c r="K905" s="99"/>
      <c r="L905" s="99"/>
      <c r="M905" s="99"/>
      <c r="N905" s="9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</row>
    <row r="906" ht="15.75" customHeight="1">
      <c r="A906" s="29"/>
      <c r="B906" s="98"/>
      <c r="C906" s="99"/>
      <c r="D906" s="29"/>
      <c r="E906" s="29"/>
      <c r="F906" s="99"/>
      <c r="G906" s="100"/>
      <c r="H906" s="29"/>
      <c r="I906" s="29"/>
      <c r="J906" s="29"/>
      <c r="K906" s="99"/>
      <c r="L906" s="99"/>
      <c r="M906" s="99"/>
      <c r="N906" s="9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</row>
    <row r="907" ht="15.75" customHeight="1">
      <c r="A907" s="29"/>
      <c r="B907" s="98"/>
      <c r="C907" s="99"/>
      <c r="D907" s="29"/>
      <c r="E907" s="29"/>
      <c r="F907" s="99"/>
      <c r="G907" s="100"/>
      <c r="H907" s="29"/>
      <c r="I907" s="29"/>
      <c r="J907" s="29"/>
      <c r="K907" s="99"/>
      <c r="L907" s="99"/>
      <c r="M907" s="99"/>
      <c r="N907" s="9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</row>
    <row r="908" ht="15.75" customHeight="1">
      <c r="A908" s="29"/>
      <c r="B908" s="98"/>
      <c r="C908" s="99"/>
      <c r="D908" s="29"/>
      <c r="E908" s="29"/>
      <c r="F908" s="99"/>
      <c r="G908" s="100"/>
      <c r="H908" s="29"/>
      <c r="I908" s="29"/>
      <c r="J908" s="29"/>
      <c r="K908" s="99"/>
      <c r="L908" s="99"/>
      <c r="M908" s="99"/>
      <c r="N908" s="9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</row>
    <row r="909" ht="15.75" customHeight="1">
      <c r="A909" s="29"/>
      <c r="B909" s="98"/>
      <c r="C909" s="99"/>
      <c r="D909" s="29"/>
      <c r="E909" s="29"/>
      <c r="F909" s="99"/>
      <c r="G909" s="100"/>
      <c r="H909" s="29"/>
      <c r="I909" s="29"/>
      <c r="J909" s="29"/>
      <c r="K909" s="99"/>
      <c r="L909" s="99"/>
      <c r="M909" s="99"/>
      <c r="N909" s="9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</row>
    <row r="910" ht="15.75" customHeight="1">
      <c r="A910" s="29"/>
      <c r="B910" s="98"/>
      <c r="C910" s="99"/>
      <c r="D910" s="29"/>
      <c r="E910" s="29"/>
      <c r="F910" s="99"/>
      <c r="G910" s="100"/>
      <c r="H910" s="29"/>
      <c r="I910" s="29"/>
      <c r="J910" s="29"/>
      <c r="K910" s="99"/>
      <c r="L910" s="99"/>
      <c r="M910" s="99"/>
      <c r="N910" s="9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</row>
    <row r="911" ht="15.75" customHeight="1">
      <c r="A911" s="29"/>
      <c r="B911" s="98"/>
      <c r="C911" s="99"/>
      <c r="D911" s="29"/>
      <c r="E911" s="29"/>
      <c r="F911" s="99"/>
      <c r="G911" s="100"/>
      <c r="H911" s="29"/>
      <c r="I911" s="29"/>
      <c r="J911" s="29"/>
      <c r="K911" s="99"/>
      <c r="L911" s="99"/>
      <c r="M911" s="99"/>
      <c r="N911" s="9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</row>
    <row r="912" ht="15.75" customHeight="1">
      <c r="A912" s="29"/>
      <c r="B912" s="98"/>
      <c r="C912" s="99"/>
      <c r="D912" s="29"/>
      <c r="E912" s="29"/>
      <c r="F912" s="99"/>
      <c r="G912" s="100"/>
      <c r="H912" s="29"/>
      <c r="I912" s="29"/>
      <c r="J912" s="29"/>
      <c r="K912" s="99"/>
      <c r="L912" s="99"/>
      <c r="M912" s="99"/>
      <c r="N912" s="9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</row>
    <row r="913" ht="15.75" customHeight="1">
      <c r="A913" s="29"/>
      <c r="B913" s="98"/>
      <c r="C913" s="99"/>
      <c r="D913" s="29"/>
      <c r="E913" s="29"/>
      <c r="F913" s="99"/>
      <c r="G913" s="100"/>
      <c r="H913" s="29"/>
      <c r="I913" s="29"/>
      <c r="J913" s="29"/>
      <c r="K913" s="99"/>
      <c r="L913" s="99"/>
      <c r="M913" s="99"/>
      <c r="N913" s="9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</row>
    <row r="914" ht="15.75" customHeight="1">
      <c r="A914" s="29"/>
      <c r="B914" s="98"/>
      <c r="C914" s="99"/>
      <c r="D914" s="29"/>
      <c r="E914" s="29"/>
      <c r="F914" s="99"/>
      <c r="G914" s="100"/>
      <c r="H914" s="29"/>
      <c r="I914" s="29"/>
      <c r="J914" s="29"/>
      <c r="K914" s="99"/>
      <c r="L914" s="99"/>
      <c r="M914" s="99"/>
      <c r="N914" s="9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</row>
    <row r="915" ht="15.75" customHeight="1">
      <c r="A915" s="29"/>
      <c r="B915" s="98"/>
      <c r="C915" s="99"/>
      <c r="D915" s="29"/>
      <c r="E915" s="29"/>
      <c r="F915" s="99"/>
      <c r="G915" s="100"/>
      <c r="H915" s="29"/>
      <c r="I915" s="29"/>
      <c r="J915" s="29"/>
      <c r="K915" s="99"/>
      <c r="L915" s="99"/>
      <c r="M915" s="99"/>
      <c r="N915" s="9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</row>
    <row r="916" ht="15.75" customHeight="1">
      <c r="A916" s="29"/>
      <c r="B916" s="98"/>
      <c r="C916" s="99"/>
      <c r="D916" s="29"/>
      <c r="E916" s="29"/>
      <c r="F916" s="99"/>
      <c r="G916" s="100"/>
      <c r="H916" s="29"/>
      <c r="I916" s="29"/>
      <c r="J916" s="29"/>
      <c r="K916" s="99"/>
      <c r="L916" s="99"/>
      <c r="M916" s="99"/>
      <c r="N916" s="9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</row>
    <row r="917" ht="15.75" customHeight="1">
      <c r="A917" s="29"/>
      <c r="B917" s="98"/>
      <c r="C917" s="99"/>
      <c r="D917" s="29"/>
      <c r="E917" s="29"/>
      <c r="F917" s="99"/>
      <c r="G917" s="100"/>
      <c r="H917" s="29"/>
      <c r="I917" s="29"/>
      <c r="J917" s="29"/>
      <c r="K917" s="99"/>
      <c r="L917" s="99"/>
      <c r="M917" s="99"/>
      <c r="N917" s="9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</row>
    <row r="918" ht="15.75" customHeight="1">
      <c r="A918" s="29"/>
      <c r="B918" s="98"/>
      <c r="C918" s="99"/>
      <c r="D918" s="29"/>
      <c r="E918" s="29"/>
      <c r="F918" s="99"/>
      <c r="G918" s="100"/>
      <c r="H918" s="29"/>
      <c r="I918" s="29"/>
      <c r="J918" s="29"/>
      <c r="K918" s="99"/>
      <c r="L918" s="99"/>
      <c r="M918" s="99"/>
      <c r="N918" s="9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</row>
    <row r="919" ht="15.75" customHeight="1">
      <c r="A919" s="29"/>
      <c r="B919" s="98"/>
      <c r="C919" s="99"/>
      <c r="D919" s="29"/>
      <c r="E919" s="29"/>
      <c r="F919" s="99"/>
      <c r="G919" s="100"/>
      <c r="H919" s="29"/>
      <c r="I919" s="29"/>
      <c r="J919" s="29"/>
      <c r="K919" s="99"/>
      <c r="L919" s="99"/>
      <c r="M919" s="99"/>
      <c r="N919" s="9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</row>
    <row r="920" ht="15.75" customHeight="1">
      <c r="A920" s="29"/>
      <c r="B920" s="98"/>
      <c r="C920" s="99"/>
      <c r="D920" s="29"/>
      <c r="E920" s="29"/>
      <c r="F920" s="99"/>
      <c r="G920" s="100"/>
      <c r="H920" s="29"/>
      <c r="I920" s="29"/>
      <c r="J920" s="29"/>
      <c r="K920" s="99"/>
      <c r="L920" s="99"/>
      <c r="M920" s="99"/>
      <c r="N920" s="9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</row>
    <row r="921" ht="15.75" customHeight="1">
      <c r="A921" s="29"/>
      <c r="B921" s="98"/>
      <c r="C921" s="99"/>
      <c r="D921" s="29"/>
      <c r="E921" s="29"/>
      <c r="F921" s="99"/>
      <c r="G921" s="100"/>
      <c r="H921" s="29"/>
      <c r="I921" s="29"/>
      <c r="J921" s="29"/>
      <c r="K921" s="99"/>
      <c r="L921" s="99"/>
      <c r="M921" s="99"/>
      <c r="N921" s="9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</row>
    <row r="922" ht="15.75" customHeight="1">
      <c r="A922" s="29"/>
      <c r="B922" s="98"/>
      <c r="C922" s="99"/>
      <c r="D922" s="29"/>
      <c r="E922" s="29"/>
      <c r="F922" s="99"/>
      <c r="G922" s="100"/>
      <c r="H922" s="29"/>
      <c r="I922" s="29"/>
      <c r="J922" s="29"/>
      <c r="K922" s="99"/>
      <c r="L922" s="99"/>
      <c r="M922" s="99"/>
      <c r="N922" s="9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</row>
    <row r="923" ht="15.75" customHeight="1">
      <c r="A923" s="29"/>
      <c r="B923" s="98"/>
      <c r="C923" s="99"/>
      <c r="D923" s="29"/>
      <c r="E923" s="29"/>
      <c r="F923" s="99"/>
      <c r="G923" s="100"/>
      <c r="H923" s="29"/>
      <c r="I923" s="29"/>
      <c r="J923" s="29"/>
      <c r="K923" s="99"/>
      <c r="L923" s="99"/>
      <c r="M923" s="99"/>
      <c r="N923" s="9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</row>
    <row r="924" ht="15.75" customHeight="1">
      <c r="A924" s="29"/>
      <c r="B924" s="98"/>
      <c r="C924" s="99"/>
      <c r="D924" s="29"/>
      <c r="E924" s="29"/>
      <c r="F924" s="99"/>
      <c r="G924" s="100"/>
      <c r="H924" s="29"/>
      <c r="I924" s="29"/>
      <c r="J924" s="29"/>
      <c r="K924" s="99"/>
      <c r="L924" s="99"/>
      <c r="M924" s="99"/>
      <c r="N924" s="9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</row>
    <row r="925" ht="15.75" customHeight="1">
      <c r="A925" s="29"/>
      <c r="B925" s="98"/>
      <c r="C925" s="99"/>
      <c r="D925" s="29"/>
      <c r="E925" s="29"/>
      <c r="F925" s="99"/>
      <c r="G925" s="100"/>
      <c r="H925" s="29"/>
      <c r="I925" s="29"/>
      <c r="J925" s="29"/>
      <c r="K925" s="99"/>
      <c r="L925" s="99"/>
      <c r="M925" s="99"/>
      <c r="N925" s="9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</row>
    <row r="926" ht="15.75" customHeight="1">
      <c r="A926" s="29"/>
      <c r="B926" s="98"/>
      <c r="C926" s="99"/>
      <c r="D926" s="29"/>
      <c r="E926" s="29"/>
      <c r="F926" s="99"/>
      <c r="G926" s="100"/>
      <c r="H926" s="29"/>
      <c r="I926" s="29"/>
      <c r="J926" s="29"/>
      <c r="K926" s="99"/>
      <c r="L926" s="99"/>
      <c r="M926" s="99"/>
      <c r="N926" s="9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</row>
    <row r="927" ht="15.75" customHeight="1">
      <c r="A927" s="29"/>
      <c r="B927" s="98"/>
      <c r="C927" s="99"/>
      <c r="D927" s="29"/>
      <c r="E927" s="29"/>
      <c r="F927" s="99"/>
      <c r="G927" s="100"/>
      <c r="H927" s="29"/>
      <c r="I927" s="29"/>
      <c r="J927" s="29"/>
      <c r="K927" s="99"/>
      <c r="L927" s="99"/>
      <c r="M927" s="99"/>
      <c r="N927" s="9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</row>
    <row r="928" ht="15.75" customHeight="1">
      <c r="A928" s="29"/>
      <c r="B928" s="98"/>
      <c r="C928" s="99"/>
      <c r="D928" s="29"/>
      <c r="E928" s="29"/>
      <c r="F928" s="99"/>
      <c r="G928" s="100"/>
      <c r="H928" s="29"/>
      <c r="I928" s="29"/>
      <c r="J928" s="29"/>
      <c r="K928" s="99"/>
      <c r="L928" s="99"/>
      <c r="M928" s="99"/>
      <c r="N928" s="9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</row>
    <row r="929" ht="15.75" customHeight="1">
      <c r="A929" s="29"/>
      <c r="B929" s="98"/>
      <c r="C929" s="99"/>
      <c r="D929" s="29"/>
      <c r="E929" s="29"/>
      <c r="F929" s="99"/>
      <c r="G929" s="100"/>
      <c r="H929" s="29"/>
      <c r="I929" s="29"/>
      <c r="J929" s="29"/>
      <c r="K929" s="99"/>
      <c r="L929" s="99"/>
      <c r="M929" s="99"/>
      <c r="N929" s="9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</row>
    <row r="930" ht="15.75" customHeight="1">
      <c r="A930" s="29"/>
      <c r="B930" s="98"/>
      <c r="C930" s="99"/>
      <c r="D930" s="29"/>
      <c r="E930" s="29"/>
      <c r="F930" s="99"/>
      <c r="G930" s="100"/>
      <c r="H930" s="29"/>
      <c r="I930" s="29"/>
      <c r="J930" s="29"/>
      <c r="K930" s="99"/>
      <c r="L930" s="99"/>
      <c r="M930" s="99"/>
      <c r="N930" s="9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</row>
    <row r="931" ht="15.75" customHeight="1">
      <c r="A931" s="29"/>
      <c r="B931" s="98"/>
      <c r="C931" s="99"/>
      <c r="D931" s="29"/>
      <c r="E931" s="29"/>
      <c r="F931" s="99"/>
      <c r="G931" s="100"/>
      <c r="H931" s="29"/>
      <c r="I931" s="29"/>
      <c r="J931" s="29"/>
      <c r="K931" s="99"/>
      <c r="L931" s="99"/>
      <c r="M931" s="99"/>
      <c r="N931" s="9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</row>
    <row r="932" ht="15.75" customHeight="1">
      <c r="A932" s="29"/>
      <c r="B932" s="98"/>
      <c r="C932" s="99"/>
      <c r="D932" s="29"/>
      <c r="E932" s="29"/>
      <c r="F932" s="99"/>
      <c r="G932" s="100"/>
      <c r="H932" s="29"/>
      <c r="I932" s="29"/>
      <c r="J932" s="29"/>
      <c r="K932" s="99"/>
      <c r="L932" s="99"/>
      <c r="M932" s="99"/>
      <c r="N932" s="9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</row>
    <row r="933" ht="15.75" customHeight="1">
      <c r="A933" s="29"/>
      <c r="B933" s="98"/>
      <c r="C933" s="99"/>
      <c r="D933" s="29"/>
      <c r="E933" s="29"/>
      <c r="F933" s="99"/>
      <c r="G933" s="100"/>
      <c r="H933" s="29"/>
      <c r="I933" s="29"/>
      <c r="J933" s="29"/>
      <c r="K933" s="99"/>
      <c r="L933" s="99"/>
      <c r="M933" s="99"/>
      <c r="N933" s="9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</row>
    <row r="934" ht="15.75" customHeight="1">
      <c r="A934" s="29"/>
      <c r="B934" s="98"/>
      <c r="C934" s="99"/>
      <c r="D934" s="29"/>
      <c r="E934" s="29"/>
      <c r="F934" s="99"/>
      <c r="G934" s="100"/>
      <c r="H934" s="29"/>
      <c r="I934" s="29"/>
      <c r="J934" s="29"/>
      <c r="K934" s="99"/>
      <c r="L934" s="99"/>
      <c r="M934" s="99"/>
      <c r="N934" s="9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</row>
    <row r="935" ht="15.75" customHeight="1">
      <c r="A935" s="29"/>
      <c r="B935" s="98"/>
      <c r="C935" s="99"/>
      <c r="D935" s="29"/>
      <c r="E935" s="29"/>
      <c r="F935" s="99"/>
      <c r="G935" s="100"/>
      <c r="H935" s="29"/>
      <c r="I935" s="29"/>
      <c r="J935" s="29"/>
      <c r="K935" s="99"/>
      <c r="L935" s="99"/>
      <c r="M935" s="99"/>
      <c r="N935" s="9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</row>
    <row r="936" ht="15.75" customHeight="1">
      <c r="A936" s="29"/>
      <c r="B936" s="98"/>
      <c r="C936" s="99"/>
      <c r="D936" s="29"/>
      <c r="E936" s="29"/>
      <c r="F936" s="99"/>
      <c r="G936" s="100"/>
      <c r="H936" s="29"/>
      <c r="I936" s="29"/>
      <c r="J936" s="29"/>
      <c r="K936" s="99"/>
      <c r="L936" s="99"/>
      <c r="M936" s="99"/>
      <c r="N936" s="9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</row>
    <row r="937" ht="15.75" customHeight="1">
      <c r="A937" s="29"/>
      <c r="B937" s="98"/>
      <c r="C937" s="99"/>
      <c r="D937" s="29"/>
      <c r="E937" s="29"/>
      <c r="F937" s="99"/>
      <c r="G937" s="100"/>
      <c r="H937" s="29"/>
      <c r="I937" s="29"/>
      <c r="J937" s="29"/>
      <c r="K937" s="99"/>
      <c r="L937" s="99"/>
      <c r="M937" s="99"/>
      <c r="N937" s="9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</row>
    <row r="938" ht="15.75" customHeight="1">
      <c r="A938" s="29"/>
      <c r="B938" s="98"/>
      <c r="C938" s="99"/>
      <c r="D938" s="29"/>
      <c r="E938" s="29"/>
      <c r="F938" s="99"/>
      <c r="G938" s="100"/>
      <c r="H938" s="29"/>
      <c r="I938" s="29"/>
      <c r="J938" s="29"/>
      <c r="K938" s="99"/>
      <c r="L938" s="99"/>
      <c r="M938" s="99"/>
      <c r="N938" s="9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</row>
    <row r="939" ht="15.75" customHeight="1">
      <c r="A939" s="29"/>
      <c r="B939" s="98"/>
      <c r="C939" s="99"/>
      <c r="D939" s="29"/>
      <c r="E939" s="29"/>
      <c r="F939" s="99"/>
      <c r="G939" s="100"/>
      <c r="H939" s="29"/>
      <c r="I939" s="29"/>
      <c r="J939" s="29"/>
      <c r="K939" s="99"/>
      <c r="L939" s="99"/>
      <c r="M939" s="99"/>
      <c r="N939" s="9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</row>
    <row r="940" ht="15.75" customHeight="1">
      <c r="A940" s="29"/>
      <c r="B940" s="98"/>
      <c r="C940" s="99"/>
      <c r="D940" s="29"/>
      <c r="E940" s="29"/>
      <c r="F940" s="99"/>
      <c r="G940" s="100"/>
      <c r="H940" s="29"/>
      <c r="I940" s="29"/>
      <c r="J940" s="29"/>
      <c r="K940" s="99"/>
      <c r="L940" s="99"/>
      <c r="M940" s="99"/>
      <c r="N940" s="9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</row>
    <row r="941" ht="15.75" customHeight="1">
      <c r="A941" s="29"/>
      <c r="B941" s="98"/>
      <c r="C941" s="99"/>
      <c r="D941" s="29"/>
      <c r="E941" s="29"/>
      <c r="F941" s="99"/>
      <c r="G941" s="100"/>
      <c r="H941" s="29"/>
      <c r="I941" s="29"/>
      <c r="J941" s="29"/>
      <c r="K941" s="99"/>
      <c r="L941" s="99"/>
      <c r="M941" s="99"/>
      <c r="N941" s="9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</row>
    <row r="942" ht="15.75" customHeight="1">
      <c r="A942" s="29"/>
      <c r="B942" s="98"/>
      <c r="C942" s="99"/>
      <c r="D942" s="29"/>
      <c r="E942" s="29"/>
      <c r="F942" s="99"/>
      <c r="G942" s="100"/>
      <c r="H942" s="29"/>
      <c r="I942" s="29"/>
      <c r="J942" s="29"/>
      <c r="K942" s="99"/>
      <c r="L942" s="99"/>
      <c r="M942" s="99"/>
      <c r="N942" s="9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</row>
    <row r="943" ht="15.75" customHeight="1">
      <c r="A943" s="29"/>
      <c r="B943" s="98"/>
      <c r="C943" s="99"/>
      <c r="D943" s="29"/>
      <c r="E943" s="29"/>
      <c r="F943" s="99"/>
      <c r="G943" s="100"/>
      <c r="H943" s="29"/>
      <c r="I943" s="29"/>
      <c r="J943" s="29"/>
      <c r="K943" s="99"/>
      <c r="L943" s="99"/>
      <c r="M943" s="99"/>
      <c r="N943" s="9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</row>
    <row r="944" ht="15.75" customHeight="1">
      <c r="A944" s="29"/>
      <c r="B944" s="98"/>
      <c r="C944" s="99"/>
      <c r="D944" s="29"/>
      <c r="E944" s="29"/>
      <c r="F944" s="99"/>
      <c r="G944" s="100"/>
      <c r="H944" s="29"/>
      <c r="I944" s="29"/>
      <c r="J944" s="29"/>
      <c r="K944" s="99"/>
      <c r="L944" s="99"/>
      <c r="M944" s="99"/>
      <c r="N944" s="9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</row>
    <row r="945" ht="15.75" customHeight="1">
      <c r="A945" s="29"/>
      <c r="B945" s="98"/>
      <c r="C945" s="99"/>
      <c r="D945" s="29"/>
      <c r="E945" s="29"/>
      <c r="F945" s="99"/>
      <c r="G945" s="100"/>
      <c r="H945" s="29"/>
      <c r="I945" s="29"/>
      <c r="J945" s="29"/>
      <c r="K945" s="99"/>
      <c r="L945" s="99"/>
      <c r="M945" s="99"/>
      <c r="N945" s="9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</row>
    <row r="946" ht="15.75" customHeight="1">
      <c r="A946" s="29"/>
      <c r="B946" s="98"/>
      <c r="C946" s="99"/>
      <c r="D946" s="29"/>
      <c r="E946" s="29"/>
      <c r="F946" s="99"/>
      <c r="G946" s="100"/>
      <c r="H946" s="29"/>
      <c r="I946" s="29"/>
      <c r="J946" s="29"/>
      <c r="K946" s="99"/>
      <c r="L946" s="99"/>
      <c r="M946" s="99"/>
      <c r="N946" s="9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</row>
    <row r="947" ht="15.75" customHeight="1">
      <c r="A947" s="29"/>
      <c r="B947" s="98"/>
      <c r="C947" s="99"/>
      <c r="D947" s="29"/>
      <c r="E947" s="29"/>
      <c r="F947" s="99"/>
      <c r="G947" s="100"/>
      <c r="H947" s="29"/>
      <c r="I947" s="29"/>
      <c r="J947" s="29"/>
      <c r="K947" s="99"/>
      <c r="L947" s="99"/>
      <c r="M947" s="99"/>
      <c r="N947" s="9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</row>
    <row r="948" ht="15.75" customHeight="1">
      <c r="A948" s="29"/>
      <c r="B948" s="98"/>
      <c r="C948" s="99"/>
      <c r="D948" s="29"/>
      <c r="E948" s="29"/>
      <c r="F948" s="99"/>
      <c r="G948" s="100"/>
      <c r="H948" s="29"/>
      <c r="I948" s="29"/>
      <c r="J948" s="29"/>
      <c r="K948" s="99"/>
      <c r="L948" s="99"/>
      <c r="M948" s="99"/>
      <c r="N948" s="9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</row>
    <row r="949" ht="15.75" customHeight="1">
      <c r="A949" s="29"/>
      <c r="B949" s="98"/>
      <c r="C949" s="99"/>
      <c r="D949" s="29"/>
      <c r="E949" s="29"/>
      <c r="F949" s="99"/>
      <c r="G949" s="100"/>
      <c r="H949" s="29"/>
      <c r="I949" s="29"/>
      <c r="J949" s="29"/>
      <c r="K949" s="99"/>
      <c r="L949" s="99"/>
      <c r="M949" s="99"/>
      <c r="N949" s="9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</row>
  </sheetData>
  <dataValidations>
    <dataValidation type="list" allowBlank="1" showErrorMessage="1" sqref="L2:L747">
      <formula1>"Yes,No,Paid Directly to Vendor"</formula1>
    </dataValidation>
    <dataValidation type="list" allowBlank="1" showErrorMessage="1" sqref="M2:M747">
      <formula1>"Mayank Aggarwal,Rajesh Nanda,Akhilesh Mahajan,Amit Vats,Pranay Srivastava,Team Meenakshi/Suchi,Gaurav Mahajan,Navin Garg,Gupt Daan,Walk-In,Bajaj Aunty,Team Rajni/Sakshi,Daan Patra,Amit Katiyar"</formula1>
    </dataValidation>
    <dataValidation type="list" allowBlank="1" showErrorMessage="1" sqref="K2:K747">
      <formula1>"Akhilesh,Nanda Ji,Mayank,Pranay,Amit Vats,Navin Garg,Team Meenaksi/Suchi,Gaurav Mahajan,Vendor - Kushal Garg,Team Rajni/Sakhi,Daan Patra,Amit Katiyar,Shastri Ji"</formula1>
    </dataValidation>
    <dataValidation type="list" allowBlank="1" showErrorMessage="1" sqref="F2:F746">
      <formula1>"Cash,UPI,Cheque"</formula1>
    </dataValidation>
  </dataValidations>
  <hyperlinks>
    <hyperlink r:id="rId2" ref="A1"/>
  </hyperlinks>
  <printOptions/>
  <pageMargins bottom="0.75" footer="0.0" header="0.0" left="0.7" right="0.7" top="0.75"/>
  <pageSetup orientation="portrait"/>
  <drawing r:id="rId3"/>
  <legacy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2.63"/>
    <col customWidth="1" min="2" max="2" width="20.25"/>
    <col customWidth="1" min="3" max="3" width="22.63"/>
    <col customWidth="1" min="4" max="6" width="12.63"/>
  </cols>
  <sheetData>
    <row r="1" ht="15.75" customHeight="1">
      <c r="A1" s="33"/>
      <c r="B1" s="34"/>
      <c r="C1" s="34"/>
      <c r="D1" s="34"/>
      <c r="E1" s="34"/>
      <c r="F1" s="35" t="s">
        <v>75</v>
      </c>
      <c r="G1" s="36"/>
      <c r="H1" s="36"/>
      <c r="I1" s="36"/>
      <c r="J1" s="37"/>
      <c r="K1" s="38">
        <v>46082.0</v>
      </c>
      <c r="L1" s="36"/>
      <c r="M1" s="36"/>
      <c r="N1" s="36"/>
      <c r="O1" s="37"/>
      <c r="P1" s="39">
        <v>46113.0</v>
      </c>
      <c r="Q1" s="36"/>
      <c r="R1" s="36"/>
      <c r="S1" s="36"/>
      <c r="T1" s="37"/>
      <c r="U1" s="40">
        <v>46143.0</v>
      </c>
      <c r="V1" s="36"/>
      <c r="W1" s="36"/>
      <c r="X1" s="36"/>
      <c r="Y1" s="37"/>
      <c r="Z1" s="38">
        <v>46174.0</v>
      </c>
      <c r="AA1" s="36"/>
      <c r="AB1" s="36"/>
      <c r="AC1" s="36"/>
      <c r="AD1" s="37"/>
      <c r="AE1" s="39">
        <v>46204.0</v>
      </c>
      <c r="AF1" s="36"/>
      <c r="AG1" s="36"/>
      <c r="AH1" s="36"/>
      <c r="AI1" s="37"/>
      <c r="AJ1" s="41"/>
      <c r="AK1" s="41"/>
      <c r="AL1" s="41"/>
      <c r="AM1" s="41"/>
      <c r="AN1" s="41"/>
    </row>
    <row r="2" ht="15.75" customHeight="1">
      <c r="A2" s="43" t="s">
        <v>4</v>
      </c>
      <c r="B2" s="44" t="s">
        <v>87</v>
      </c>
      <c r="C2" s="44" t="s">
        <v>24</v>
      </c>
      <c r="D2" s="44" t="s">
        <v>89</v>
      </c>
      <c r="E2" s="44" t="s">
        <v>91</v>
      </c>
      <c r="F2" s="44" t="s">
        <v>7</v>
      </c>
      <c r="G2" s="44" t="s">
        <v>92</v>
      </c>
      <c r="H2" s="44" t="s">
        <v>94</v>
      </c>
      <c r="I2" s="44" t="s">
        <v>95</v>
      </c>
      <c r="J2" s="44" t="s">
        <v>96</v>
      </c>
      <c r="K2" s="44" t="s">
        <v>7</v>
      </c>
      <c r="L2" s="44" t="s">
        <v>92</v>
      </c>
      <c r="M2" s="44" t="s">
        <v>94</v>
      </c>
      <c r="N2" s="44" t="s">
        <v>95</v>
      </c>
      <c r="O2" s="44" t="s">
        <v>96</v>
      </c>
      <c r="P2" s="44" t="s">
        <v>7</v>
      </c>
      <c r="Q2" s="44" t="s">
        <v>92</v>
      </c>
      <c r="R2" s="44" t="s">
        <v>94</v>
      </c>
      <c r="S2" s="44" t="s">
        <v>95</v>
      </c>
      <c r="T2" s="44" t="s">
        <v>96</v>
      </c>
      <c r="U2" s="44" t="s">
        <v>7</v>
      </c>
      <c r="V2" s="44" t="s">
        <v>92</v>
      </c>
      <c r="W2" s="44" t="s">
        <v>94</v>
      </c>
      <c r="X2" s="45" t="s">
        <v>95</v>
      </c>
      <c r="Y2" s="44" t="s">
        <v>96</v>
      </c>
      <c r="Z2" s="44" t="s">
        <v>7</v>
      </c>
      <c r="AA2" s="44" t="s">
        <v>92</v>
      </c>
      <c r="AB2" s="44" t="s">
        <v>94</v>
      </c>
      <c r="AC2" s="45" t="s">
        <v>95</v>
      </c>
      <c r="AD2" s="44" t="s">
        <v>96</v>
      </c>
      <c r="AE2" s="44" t="s">
        <v>7</v>
      </c>
      <c r="AF2" s="44" t="s">
        <v>92</v>
      </c>
      <c r="AG2" s="44" t="s">
        <v>94</v>
      </c>
      <c r="AH2" s="45" t="s">
        <v>104</v>
      </c>
      <c r="AI2" s="44" t="s">
        <v>96</v>
      </c>
      <c r="AJ2" s="44"/>
      <c r="AK2" s="44"/>
      <c r="AL2" s="44"/>
      <c r="AM2" s="44"/>
      <c r="AN2" s="44"/>
    </row>
    <row r="3" ht="15.75" customHeight="1">
      <c r="A3" s="46"/>
      <c r="B3" s="44"/>
      <c r="C3" s="44"/>
      <c r="D3" s="44"/>
      <c r="E3" s="44"/>
      <c r="F3" s="44">
        <f>SUM(F4:F200)</f>
        <v>12500</v>
      </c>
      <c r="G3" s="44"/>
      <c r="H3" s="44"/>
      <c r="I3" s="44"/>
      <c r="J3" s="44"/>
      <c r="K3" s="44">
        <f>sum(K4:K46)</f>
        <v>8500</v>
      </c>
      <c r="L3" s="44"/>
      <c r="M3" s="44"/>
      <c r="N3" s="44"/>
      <c r="O3" s="44"/>
      <c r="P3" s="44">
        <f>sum(P4:P49)</f>
        <v>8500</v>
      </c>
      <c r="Q3" s="44"/>
      <c r="R3" s="44"/>
      <c r="S3" s="44"/>
      <c r="T3" s="44"/>
      <c r="U3" s="44">
        <f>sum(U4:U55)</f>
        <v>3000</v>
      </c>
      <c r="V3" s="44"/>
      <c r="W3" s="44"/>
      <c r="X3" s="44"/>
      <c r="Y3" s="44"/>
      <c r="Z3" s="44">
        <f>sum(Z4:Z1000)</f>
        <v>4500</v>
      </c>
      <c r="AA3" s="44"/>
      <c r="AB3" s="44"/>
      <c r="AC3" s="44"/>
      <c r="AD3" s="44"/>
      <c r="AE3" s="44">
        <f>sum(AE4:AE1000)</f>
        <v>2000</v>
      </c>
      <c r="AF3" s="44"/>
      <c r="AG3" s="44"/>
      <c r="AH3" s="44"/>
      <c r="AI3" s="44"/>
      <c r="AJ3" s="44"/>
      <c r="AK3" s="44"/>
      <c r="AL3" s="44"/>
      <c r="AM3" s="44"/>
      <c r="AN3" s="44"/>
    </row>
    <row r="4" ht="15.75" customHeight="1">
      <c r="A4" s="33">
        <v>1.0</v>
      </c>
      <c r="B4" s="34" t="s">
        <v>61</v>
      </c>
      <c r="C4" s="50" t="s">
        <v>133</v>
      </c>
      <c r="D4" s="34">
        <v>9.98855666E9</v>
      </c>
      <c r="E4" s="34" t="s">
        <v>62</v>
      </c>
      <c r="F4" s="34">
        <v>500.0</v>
      </c>
      <c r="G4" s="34" t="s">
        <v>135</v>
      </c>
      <c r="H4" s="51">
        <v>46071.0</v>
      </c>
      <c r="I4" s="34" t="s">
        <v>137</v>
      </c>
      <c r="J4" s="50" t="s">
        <v>39</v>
      </c>
      <c r="K4" s="52">
        <v>500.0</v>
      </c>
      <c r="L4" s="52" t="s">
        <v>135</v>
      </c>
      <c r="M4" s="53">
        <v>46089.0</v>
      </c>
      <c r="N4" s="52" t="s">
        <v>142</v>
      </c>
      <c r="O4" s="50"/>
      <c r="P4" s="34"/>
      <c r="Q4" s="34"/>
      <c r="R4" s="34"/>
      <c r="S4" s="34"/>
      <c r="T4" s="50"/>
      <c r="U4" s="34"/>
      <c r="V4" s="34"/>
      <c r="W4" s="34"/>
      <c r="X4" s="34"/>
      <c r="Y4" s="50"/>
      <c r="Z4" s="34"/>
      <c r="AA4" s="34"/>
      <c r="AB4" s="34"/>
      <c r="AC4" s="34"/>
      <c r="AD4" s="50"/>
      <c r="AE4" s="34"/>
      <c r="AF4" s="34"/>
      <c r="AG4" s="34"/>
      <c r="AH4" s="34"/>
      <c r="AI4" s="50"/>
      <c r="AJ4" s="50"/>
      <c r="AK4" s="50"/>
      <c r="AL4" s="50"/>
      <c r="AM4" s="50"/>
      <c r="AN4" s="50"/>
    </row>
    <row r="5" ht="15.75" customHeight="1">
      <c r="A5" s="33">
        <v>2.0</v>
      </c>
      <c r="B5" s="34" t="s">
        <v>54</v>
      </c>
      <c r="C5" s="50" t="s">
        <v>133</v>
      </c>
      <c r="D5" s="34">
        <v>9.910345533E9</v>
      </c>
      <c r="E5" s="34" t="s">
        <v>154</v>
      </c>
      <c r="F5" s="34">
        <v>500.0</v>
      </c>
      <c r="G5" s="34" t="s">
        <v>135</v>
      </c>
      <c r="H5" s="51">
        <v>46071.0</v>
      </c>
      <c r="I5" s="34" t="s">
        <v>157</v>
      </c>
      <c r="J5" s="50" t="s">
        <v>39</v>
      </c>
      <c r="K5" s="34"/>
      <c r="L5" s="34"/>
      <c r="M5" s="34"/>
      <c r="N5" s="34"/>
      <c r="O5" s="50"/>
      <c r="P5" s="34"/>
      <c r="Q5" s="34"/>
      <c r="R5" s="34"/>
      <c r="S5" s="34"/>
      <c r="T5" s="50"/>
      <c r="U5" s="52"/>
      <c r="V5" s="52"/>
      <c r="W5" s="53"/>
      <c r="X5" s="52"/>
      <c r="Y5" s="55"/>
      <c r="Z5" s="34"/>
      <c r="AA5" s="34"/>
      <c r="AB5" s="34"/>
      <c r="AC5" s="34"/>
      <c r="AD5" s="50"/>
      <c r="AE5" s="34"/>
      <c r="AF5" s="34"/>
      <c r="AG5" s="34"/>
      <c r="AH5" s="34"/>
      <c r="AI5" s="50"/>
      <c r="AJ5" s="50"/>
      <c r="AK5" s="50"/>
      <c r="AL5" s="50"/>
      <c r="AM5" s="50"/>
      <c r="AN5" s="50"/>
    </row>
    <row r="6" ht="15.75" customHeight="1">
      <c r="A6" s="33">
        <v>3.0</v>
      </c>
      <c r="B6" s="34" t="s">
        <v>169</v>
      </c>
      <c r="C6" s="50" t="s">
        <v>171</v>
      </c>
      <c r="D6" s="56">
        <v>9.872790372E9</v>
      </c>
      <c r="E6" s="34" t="s">
        <v>173</v>
      </c>
      <c r="F6" s="34">
        <v>500.0</v>
      </c>
      <c r="G6" s="34" t="s">
        <v>135</v>
      </c>
      <c r="H6" s="51">
        <v>46072.0</v>
      </c>
      <c r="I6" s="34" t="s">
        <v>175</v>
      </c>
      <c r="J6" s="50" t="s">
        <v>39</v>
      </c>
      <c r="K6" s="52">
        <v>500.0</v>
      </c>
      <c r="L6" s="52" t="s">
        <v>135</v>
      </c>
      <c r="M6" s="53">
        <v>46096.0</v>
      </c>
      <c r="N6" s="52" t="s">
        <v>177</v>
      </c>
      <c r="O6" s="50"/>
      <c r="P6" s="52">
        <v>500.0</v>
      </c>
      <c r="Q6" s="52" t="s">
        <v>135</v>
      </c>
      <c r="R6" s="53">
        <v>46132.0</v>
      </c>
      <c r="S6" s="52" t="s">
        <v>180</v>
      </c>
      <c r="T6" s="55" t="s">
        <v>39</v>
      </c>
      <c r="U6" s="34"/>
      <c r="V6" s="34"/>
      <c r="W6" s="34"/>
      <c r="X6" s="34"/>
      <c r="Y6" s="50"/>
      <c r="Z6" s="34"/>
      <c r="AA6" s="34"/>
      <c r="AB6" s="34"/>
      <c r="AC6" s="34"/>
      <c r="AD6" s="50"/>
      <c r="AE6" s="34"/>
      <c r="AF6" s="34"/>
      <c r="AG6" s="34"/>
      <c r="AH6" s="34"/>
      <c r="AI6" s="50"/>
      <c r="AJ6" s="50"/>
      <c r="AK6" s="50"/>
      <c r="AL6" s="50"/>
      <c r="AM6" s="50"/>
      <c r="AN6" s="50"/>
    </row>
    <row r="7" ht="15.75" customHeight="1">
      <c r="A7" s="33">
        <v>4.0</v>
      </c>
      <c r="B7" s="52" t="s">
        <v>188</v>
      </c>
      <c r="C7" s="50" t="s">
        <v>171</v>
      </c>
      <c r="D7" s="34">
        <v>9.780333388E9</v>
      </c>
      <c r="E7" s="34" t="s">
        <v>139</v>
      </c>
      <c r="F7" s="34">
        <v>500.0</v>
      </c>
      <c r="G7" s="34" t="s">
        <v>135</v>
      </c>
      <c r="H7" s="51">
        <v>46072.0</v>
      </c>
      <c r="I7" s="34" t="s">
        <v>192</v>
      </c>
      <c r="J7" s="50" t="s">
        <v>39</v>
      </c>
      <c r="K7" s="52">
        <v>500.0</v>
      </c>
      <c r="L7" s="52" t="s">
        <v>135</v>
      </c>
      <c r="M7" s="53">
        <v>46096.0</v>
      </c>
      <c r="N7" s="52" t="s">
        <v>193</v>
      </c>
      <c r="O7" s="55" t="s">
        <v>39</v>
      </c>
      <c r="P7" s="52">
        <v>500.0</v>
      </c>
      <c r="Q7" s="52" t="s">
        <v>135</v>
      </c>
      <c r="R7" s="53">
        <v>46132.0</v>
      </c>
      <c r="S7" s="52" t="s">
        <v>195</v>
      </c>
      <c r="T7" s="55" t="s">
        <v>39</v>
      </c>
      <c r="U7" s="34"/>
      <c r="V7" s="34"/>
      <c r="W7" s="34"/>
      <c r="X7" s="34"/>
      <c r="Y7" s="50"/>
      <c r="Z7" s="34"/>
      <c r="AA7" s="34"/>
      <c r="AB7" s="34"/>
      <c r="AC7" s="34"/>
      <c r="AD7" s="50"/>
      <c r="AE7" s="34"/>
      <c r="AF7" s="34"/>
      <c r="AG7" s="34"/>
      <c r="AH7" s="34"/>
      <c r="AI7" s="50"/>
      <c r="AJ7" s="50"/>
      <c r="AK7" s="50"/>
      <c r="AL7" s="50"/>
      <c r="AM7" s="50"/>
      <c r="AN7" s="50"/>
    </row>
    <row r="8" ht="15.75" customHeight="1">
      <c r="A8" s="33">
        <v>5.0</v>
      </c>
      <c r="B8" s="52" t="s">
        <v>202</v>
      </c>
      <c r="C8" s="50" t="s">
        <v>171</v>
      </c>
      <c r="D8" s="34">
        <v>9.914903824E9</v>
      </c>
      <c r="E8" s="34" t="s">
        <v>203</v>
      </c>
      <c r="F8" s="34">
        <v>500.0</v>
      </c>
      <c r="G8" s="34" t="s">
        <v>135</v>
      </c>
      <c r="H8" s="51">
        <v>46072.0</v>
      </c>
      <c r="I8" s="34" t="s">
        <v>204</v>
      </c>
      <c r="J8" s="50" t="s">
        <v>39</v>
      </c>
      <c r="K8" s="52">
        <v>500.0</v>
      </c>
      <c r="L8" s="52" t="s">
        <v>135</v>
      </c>
      <c r="M8" s="53">
        <v>46096.0</v>
      </c>
      <c r="N8" s="52" t="s">
        <v>206</v>
      </c>
      <c r="O8" s="55" t="s">
        <v>39</v>
      </c>
      <c r="P8" s="52">
        <v>500.0</v>
      </c>
      <c r="Q8" s="52" t="s">
        <v>135</v>
      </c>
      <c r="R8" s="53">
        <v>46132.0</v>
      </c>
      <c r="S8" s="52" t="s">
        <v>209</v>
      </c>
      <c r="T8" s="55" t="s">
        <v>39</v>
      </c>
      <c r="U8" s="34"/>
      <c r="V8" s="34"/>
      <c r="W8" s="34"/>
      <c r="X8" s="34"/>
      <c r="Y8" s="50"/>
      <c r="Z8" s="34"/>
      <c r="AA8" s="34"/>
      <c r="AB8" s="34"/>
      <c r="AC8" s="34"/>
      <c r="AD8" s="50"/>
      <c r="AE8" s="34"/>
      <c r="AF8" s="34"/>
      <c r="AG8" s="34"/>
      <c r="AH8" s="34"/>
      <c r="AI8" s="50"/>
      <c r="AJ8" s="50"/>
      <c r="AK8" s="50"/>
      <c r="AL8" s="50"/>
      <c r="AM8" s="50"/>
      <c r="AN8" s="50"/>
    </row>
    <row r="9" ht="15.75" customHeight="1">
      <c r="A9" s="33">
        <v>6.0</v>
      </c>
      <c r="B9" s="34" t="s">
        <v>217</v>
      </c>
      <c r="C9" s="50" t="s">
        <v>171</v>
      </c>
      <c r="D9" s="34">
        <v>9.779397624E9</v>
      </c>
      <c r="E9" s="34" t="s">
        <v>219</v>
      </c>
      <c r="F9" s="34">
        <v>500.0</v>
      </c>
      <c r="G9" s="34" t="s">
        <v>135</v>
      </c>
      <c r="H9" s="51">
        <v>46072.0</v>
      </c>
      <c r="I9" s="34" t="s">
        <v>221</v>
      </c>
      <c r="J9" s="50" t="s">
        <v>39</v>
      </c>
      <c r="K9" s="52">
        <v>500.0</v>
      </c>
      <c r="L9" s="52" t="s">
        <v>135</v>
      </c>
      <c r="M9" s="53">
        <v>46096.0</v>
      </c>
      <c r="N9" s="52" t="s">
        <v>223</v>
      </c>
      <c r="O9" s="55" t="s">
        <v>39</v>
      </c>
      <c r="P9" s="52">
        <v>500.0</v>
      </c>
      <c r="Q9" s="52" t="s">
        <v>135</v>
      </c>
      <c r="R9" s="53">
        <v>46132.0</v>
      </c>
      <c r="S9" s="52" t="s">
        <v>225</v>
      </c>
      <c r="T9" s="55" t="s">
        <v>39</v>
      </c>
      <c r="U9" s="34"/>
      <c r="V9" s="34"/>
      <c r="W9" s="34"/>
      <c r="X9" s="34"/>
      <c r="Y9" s="50"/>
      <c r="Z9" s="34"/>
      <c r="AA9" s="34"/>
      <c r="AB9" s="34"/>
      <c r="AC9" s="34"/>
      <c r="AD9" s="50"/>
      <c r="AE9" s="34"/>
      <c r="AF9" s="34"/>
      <c r="AG9" s="34"/>
      <c r="AH9" s="34"/>
      <c r="AI9" s="50"/>
      <c r="AJ9" s="50"/>
      <c r="AK9" s="50"/>
      <c r="AL9" s="50"/>
      <c r="AM9" s="50"/>
      <c r="AN9" s="50"/>
    </row>
    <row r="10" ht="15.75" customHeight="1">
      <c r="A10" s="33">
        <v>7.0</v>
      </c>
      <c r="B10" s="34" t="s">
        <v>131</v>
      </c>
      <c r="C10" s="50" t="s">
        <v>133</v>
      </c>
      <c r="D10" s="34"/>
      <c r="E10" s="34" t="s">
        <v>236</v>
      </c>
      <c r="F10" s="34">
        <v>500.0</v>
      </c>
      <c r="G10" s="34" t="s">
        <v>135</v>
      </c>
      <c r="H10" s="51">
        <v>46072.0</v>
      </c>
      <c r="I10" s="34" t="s">
        <v>240</v>
      </c>
      <c r="J10" s="55" t="s">
        <v>39</v>
      </c>
      <c r="K10" s="34"/>
      <c r="L10" s="34"/>
      <c r="M10" s="34"/>
      <c r="N10" s="34"/>
      <c r="O10" s="50"/>
      <c r="P10" s="34"/>
      <c r="Q10" s="34"/>
      <c r="R10" s="34"/>
      <c r="S10" s="34"/>
      <c r="T10" s="50"/>
      <c r="U10" s="34"/>
      <c r="V10" s="34"/>
      <c r="W10" s="34"/>
      <c r="X10" s="34"/>
      <c r="Y10" s="50"/>
      <c r="Z10" s="34"/>
      <c r="AA10" s="34"/>
      <c r="AB10" s="34"/>
      <c r="AC10" s="34"/>
      <c r="AD10" s="50"/>
      <c r="AE10" s="34"/>
      <c r="AF10" s="34"/>
      <c r="AG10" s="34"/>
      <c r="AH10" s="34"/>
      <c r="AI10" s="50"/>
      <c r="AJ10" s="50"/>
      <c r="AK10" s="50"/>
      <c r="AL10" s="50"/>
      <c r="AM10" s="50"/>
      <c r="AN10" s="50"/>
    </row>
    <row r="11" ht="15.75" customHeight="1">
      <c r="A11" s="33">
        <v>8.0</v>
      </c>
      <c r="B11" s="34" t="s">
        <v>73</v>
      </c>
      <c r="C11" s="50" t="s">
        <v>133</v>
      </c>
      <c r="D11" s="34"/>
      <c r="E11" s="34" t="s">
        <v>74</v>
      </c>
      <c r="F11" s="34">
        <v>500.0</v>
      </c>
      <c r="G11" s="34" t="s">
        <v>135</v>
      </c>
      <c r="H11" s="51">
        <v>46072.0</v>
      </c>
      <c r="I11" s="34" t="s">
        <v>258</v>
      </c>
      <c r="J11" s="55" t="s">
        <v>39</v>
      </c>
      <c r="K11" s="34"/>
      <c r="L11" s="34"/>
      <c r="M11" s="34"/>
      <c r="N11" s="34"/>
      <c r="O11" s="50"/>
      <c r="P11" s="34"/>
      <c r="Q11" s="34"/>
      <c r="R11" s="34"/>
      <c r="S11" s="34"/>
      <c r="T11" s="50"/>
      <c r="U11" s="52"/>
      <c r="V11" s="52"/>
      <c r="W11" s="53"/>
      <c r="X11" s="52"/>
      <c r="Y11" s="55"/>
      <c r="Z11" s="34"/>
      <c r="AA11" s="34"/>
      <c r="AB11" s="34"/>
      <c r="AC11" s="34"/>
      <c r="AD11" s="50"/>
      <c r="AE11" s="34"/>
      <c r="AF11" s="34"/>
      <c r="AG11" s="34"/>
      <c r="AH11" s="34"/>
      <c r="AI11" s="50"/>
      <c r="AJ11" s="50"/>
      <c r="AK11" s="50"/>
      <c r="AL11" s="50"/>
      <c r="AM11" s="50"/>
      <c r="AN11" s="50"/>
    </row>
    <row r="12" ht="15.75" customHeight="1">
      <c r="A12" s="33">
        <v>9.0</v>
      </c>
      <c r="B12" s="34" t="s">
        <v>77</v>
      </c>
      <c r="C12" s="50" t="s">
        <v>133</v>
      </c>
      <c r="D12" s="34"/>
      <c r="E12" s="34" t="s">
        <v>78</v>
      </c>
      <c r="F12" s="34">
        <v>500.0</v>
      </c>
      <c r="G12" s="34" t="s">
        <v>135</v>
      </c>
      <c r="H12" s="51">
        <v>46072.0</v>
      </c>
      <c r="I12" s="34" t="s">
        <v>278</v>
      </c>
      <c r="J12" s="50" t="s">
        <v>39</v>
      </c>
      <c r="K12" s="52">
        <v>500.0</v>
      </c>
      <c r="L12" s="52" t="s">
        <v>135</v>
      </c>
      <c r="M12" s="53">
        <v>46096.0</v>
      </c>
      <c r="N12" s="52" t="s">
        <v>282</v>
      </c>
      <c r="O12" s="55" t="s">
        <v>39</v>
      </c>
      <c r="P12" s="52">
        <v>500.0</v>
      </c>
      <c r="Q12" s="52" t="s">
        <v>135</v>
      </c>
      <c r="R12" s="53">
        <v>46132.0</v>
      </c>
      <c r="S12" s="52" t="s">
        <v>288</v>
      </c>
      <c r="T12" s="55" t="s">
        <v>39</v>
      </c>
      <c r="U12" s="34"/>
      <c r="V12" s="34"/>
      <c r="W12" s="34"/>
      <c r="X12" s="34"/>
      <c r="Y12" s="50"/>
      <c r="Z12" s="34"/>
      <c r="AA12" s="34"/>
      <c r="AB12" s="34"/>
      <c r="AC12" s="34"/>
      <c r="AD12" s="50"/>
      <c r="AE12" s="34"/>
      <c r="AF12" s="34"/>
      <c r="AG12" s="34"/>
      <c r="AH12" s="34"/>
      <c r="AI12" s="50"/>
      <c r="AJ12" s="50"/>
      <c r="AK12" s="50"/>
      <c r="AL12" s="50"/>
      <c r="AM12" s="50"/>
      <c r="AN12" s="50"/>
    </row>
    <row r="13" ht="15.75" customHeight="1">
      <c r="A13" s="33">
        <v>10.0</v>
      </c>
      <c r="B13" s="34" t="s">
        <v>70</v>
      </c>
      <c r="C13" s="50" t="s">
        <v>133</v>
      </c>
      <c r="D13" s="34"/>
      <c r="E13" s="34" t="s">
        <v>301</v>
      </c>
      <c r="F13" s="34">
        <v>500.0</v>
      </c>
      <c r="G13" s="34" t="s">
        <v>135</v>
      </c>
      <c r="H13" s="51">
        <v>46072.0</v>
      </c>
      <c r="I13" s="34" t="s">
        <v>303</v>
      </c>
      <c r="J13" s="50" t="s">
        <v>39</v>
      </c>
      <c r="K13" s="34"/>
      <c r="L13" s="34"/>
      <c r="M13" s="34"/>
      <c r="N13" s="34"/>
      <c r="O13" s="50"/>
      <c r="P13" s="34"/>
      <c r="Q13" s="34"/>
      <c r="R13" s="34"/>
      <c r="S13" s="34"/>
      <c r="T13" s="50"/>
      <c r="U13" s="34"/>
      <c r="V13" s="34"/>
      <c r="W13" s="34"/>
      <c r="X13" s="34"/>
      <c r="Y13" s="50"/>
      <c r="Z13" s="34"/>
      <c r="AA13" s="34"/>
      <c r="AB13" s="34"/>
      <c r="AC13" s="34"/>
      <c r="AD13" s="50"/>
      <c r="AE13" s="34"/>
      <c r="AF13" s="34"/>
      <c r="AG13" s="34"/>
      <c r="AH13" s="34"/>
      <c r="AI13" s="50"/>
      <c r="AJ13" s="50"/>
      <c r="AK13" s="50"/>
      <c r="AL13" s="50"/>
      <c r="AM13" s="50"/>
      <c r="AN13" s="50"/>
    </row>
    <row r="14" ht="15.75" customHeight="1">
      <c r="A14" s="33">
        <v>11.0</v>
      </c>
      <c r="B14" s="34" t="s">
        <v>106</v>
      </c>
      <c r="C14" s="50" t="s">
        <v>133</v>
      </c>
      <c r="D14" s="34"/>
      <c r="E14" s="34" t="s">
        <v>107</v>
      </c>
      <c r="F14" s="34">
        <v>500.0</v>
      </c>
      <c r="G14" s="34" t="s">
        <v>135</v>
      </c>
      <c r="H14" s="51">
        <v>46072.0</v>
      </c>
      <c r="I14" s="34" t="s">
        <v>325</v>
      </c>
      <c r="J14" s="55" t="s">
        <v>39</v>
      </c>
      <c r="K14" s="34"/>
      <c r="L14" s="34"/>
      <c r="M14" s="34"/>
      <c r="N14" s="34"/>
      <c r="O14" s="50"/>
      <c r="P14" s="34"/>
      <c r="Q14" s="34"/>
      <c r="R14" s="34"/>
      <c r="S14" s="34"/>
      <c r="T14" s="50"/>
      <c r="U14" s="34"/>
      <c r="V14" s="34"/>
      <c r="W14" s="34"/>
      <c r="X14" s="34"/>
      <c r="Y14" s="50"/>
      <c r="Z14" s="34"/>
      <c r="AA14" s="34"/>
      <c r="AB14" s="34"/>
      <c r="AC14" s="34"/>
      <c r="AD14" s="50"/>
      <c r="AE14" s="34"/>
      <c r="AF14" s="34"/>
      <c r="AG14" s="34"/>
      <c r="AH14" s="34"/>
      <c r="AI14" s="50"/>
      <c r="AJ14" s="50"/>
      <c r="AK14" s="50"/>
      <c r="AL14" s="50"/>
      <c r="AM14" s="50"/>
      <c r="AN14" s="50"/>
    </row>
    <row r="15" ht="15.75" customHeight="1">
      <c r="A15" s="33">
        <v>12.0</v>
      </c>
      <c r="B15" s="34" t="s">
        <v>344</v>
      </c>
      <c r="C15" s="50" t="s">
        <v>133</v>
      </c>
      <c r="D15" s="34"/>
      <c r="E15" s="34" t="s">
        <v>346</v>
      </c>
      <c r="F15" s="34">
        <v>500.0</v>
      </c>
      <c r="G15" s="34" t="s">
        <v>135</v>
      </c>
      <c r="H15" s="51">
        <v>46072.0</v>
      </c>
      <c r="I15" s="34" t="s">
        <v>348</v>
      </c>
      <c r="J15" s="50" t="s">
        <v>39</v>
      </c>
      <c r="K15" s="52">
        <v>500.0</v>
      </c>
      <c r="L15" s="52" t="s">
        <v>135</v>
      </c>
      <c r="M15" s="53">
        <v>46089.0</v>
      </c>
      <c r="N15" s="52" t="s">
        <v>352</v>
      </c>
      <c r="O15" s="55" t="s">
        <v>39</v>
      </c>
      <c r="P15" s="34"/>
      <c r="Q15" s="34"/>
      <c r="R15" s="34"/>
      <c r="S15" s="34"/>
      <c r="T15" s="50"/>
      <c r="U15" s="34"/>
      <c r="V15" s="34"/>
      <c r="W15" s="34"/>
      <c r="X15" s="34"/>
      <c r="Y15" s="50"/>
      <c r="Z15" s="34"/>
      <c r="AA15" s="34"/>
      <c r="AB15" s="34"/>
      <c r="AC15" s="34"/>
      <c r="AD15" s="50"/>
      <c r="AE15" s="34"/>
      <c r="AF15" s="34"/>
      <c r="AG15" s="34"/>
      <c r="AH15" s="34"/>
      <c r="AI15" s="50"/>
      <c r="AJ15" s="50"/>
      <c r="AK15" s="50"/>
      <c r="AL15" s="50"/>
      <c r="AM15" s="50"/>
      <c r="AN15" s="50"/>
    </row>
    <row r="16" ht="15.75" customHeight="1">
      <c r="A16" s="33">
        <v>13.0</v>
      </c>
      <c r="B16" s="34" t="s">
        <v>367</v>
      </c>
      <c r="C16" s="50" t="s">
        <v>171</v>
      </c>
      <c r="D16" s="34">
        <v>7.837179012E9</v>
      </c>
      <c r="E16" s="34" t="s">
        <v>369</v>
      </c>
      <c r="F16" s="34">
        <v>500.0</v>
      </c>
      <c r="G16" s="34" t="s">
        <v>135</v>
      </c>
      <c r="H16" s="51">
        <v>46074.0</v>
      </c>
      <c r="I16" s="34" t="s">
        <v>371</v>
      </c>
      <c r="J16" s="50" t="s">
        <v>39</v>
      </c>
      <c r="K16" s="52">
        <v>500.0</v>
      </c>
      <c r="L16" s="52" t="s">
        <v>135</v>
      </c>
      <c r="M16" s="53">
        <v>46096.0</v>
      </c>
      <c r="N16" s="52" t="s">
        <v>375</v>
      </c>
      <c r="O16" s="55" t="s">
        <v>39</v>
      </c>
      <c r="P16" s="52">
        <v>500.0</v>
      </c>
      <c r="Q16" s="52" t="s">
        <v>135</v>
      </c>
      <c r="R16" s="53">
        <v>46132.0</v>
      </c>
      <c r="S16" s="52" t="s">
        <v>379</v>
      </c>
      <c r="T16" s="55" t="s">
        <v>39</v>
      </c>
      <c r="U16" s="52">
        <v>500.0</v>
      </c>
      <c r="V16" s="52" t="s">
        <v>135</v>
      </c>
      <c r="W16" s="53">
        <v>46207.0</v>
      </c>
      <c r="X16" s="52" t="s">
        <v>382</v>
      </c>
      <c r="Y16" s="55" t="s">
        <v>39</v>
      </c>
      <c r="Z16" s="34"/>
      <c r="AA16" s="34"/>
      <c r="AB16" s="34"/>
      <c r="AC16" s="34"/>
      <c r="AD16" s="50"/>
      <c r="AE16" s="34"/>
      <c r="AF16" s="34"/>
      <c r="AG16" s="34"/>
      <c r="AH16" s="34"/>
      <c r="AI16" s="50"/>
      <c r="AJ16" s="50"/>
      <c r="AK16" s="50"/>
      <c r="AL16" s="50"/>
      <c r="AM16" s="50"/>
      <c r="AN16" s="50"/>
    </row>
    <row r="17" ht="15.75" customHeight="1">
      <c r="A17" s="33">
        <v>14.0</v>
      </c>
      <c r="B17" s="34" t="s">
        <v>388</v>
      </c>
      <c r="C17" s="50" t="s">
        <v>70</v>
      </c>
      <c r="D17" s="34">
        <v>9.817685E9</v>
      </c>
      <c r="E17" s="34" t="s">
        <v>390</v>
      </c>
      <c r="F17" s="34">
        <v>500.0</v>
      </c>
      <c r="G17" s="34" t="s">
        <v>135</v>
      </c>
      <c r="H17" s="51">
        <v>46075.0</v>
      </c>
      <c r="I17" s="34" t="s">
        <v>392</v>
      </c>
      <c r="J17" s="55" t="s">
        <v>39</v>
      </c>
      <c r="K17" s="34"/>
      <c r="L17" s="34"/>
      <c r="M17" s="34"/>
      <c r="N17" s="34"/>
      <c r="O17" s="50"/>
      <c r="P17" s="34"/>
      <c r="Q17" s="34"/>
      <c r="R17" s="34"/>
      <c r="S17" s="34"/>
      <c r="T17" s="50"/>
      <c r="U17" s="34"/>
      <c r="V17" s="34"/>
      <c r="W17" s="34"/>
      <c r="X17" s="34"/>
      <c r="Y17" s="50"/>
      <c r="Z17" s="34"/>
      <c r="AA17" s="34"/>
      <c r="AB17" s="34"/>
      <c r="AC17" s="34"/>
      <c r="AD17" s="50"/>
      <c r="AE17" s="34"/>
      <c r="AF17" s="34"/>
      <c r="AG17" s="34"/>
      <c r="AH17" s="34"/>
      <c r="AI17" s="50"/>
      <c r="AJ17" s="50"/>
      <c r="AK17" s="50"/>
      <c r="AL17" s="50"/>
      <c r="AM17" s="50"/>
      <c r="AN17" s="50"/>
    </row>
    <row r="18" ht="15.75" customHeight="1">
      <c r="A18" s="33">
        <v>15.0</v>
      </c>
      <c r="B18" s="34" t="s">
        <v>410</v>
      </c>
      <c r="C18" s="50" t="s">
        <v>70</v>
      </c>
      <c r="D18" s="34"/>
      <c r="E18" s="34" t="s">
        <v>412</v>
      </c>
      <c r="F18" s="34">
        <v>500.0</v>
      </c>
      <c r="G18" s="34" t="s">
        <v>135</v>
      </c>
      <c r="H18" s="51">
        <v>46075.0</v>
      </c>
      <c r="I18" s="34" t="s">
        <v>415</v>
      </c>
      <c r="J18" s="55" t="s">
        <v>39</v>
      </c>
      <c r="K18" s="34"/>
      <c r="L18" s="34"/>
      <c r="M18" s="34"/>
      <c r="N18" s="34"/>
      <c r="O18" s="50"/>
      <c r="P18" s="34"/>
      <c r="Q18" s="34"/>
      <c r="R18" s="34"/>
      <c r="S18" s="34"/>
      <c r="T18" s="50"/>
      <c r="U18" s="34"/>
      <c r="V18" s="34"/>
      <c r="W18" s="34"/>
      <c r="X18" s="34"/>
      <c r="Y18" s="50"/>
      <c r="Z18" s="34"/>
      <c r="AA18" s="34"/>
      <c r="AB18" s="34"/>
      <c r="AC18" s="34"/>
      <c r="AD18" s="50"/>
      <c r="AE18" s="34"/>
      <c r="AF18" s="34"/>
      <c r="AG18" s="34"/>
      <c r="AH18" s="34"/>
      <c r="AI18" s="50"/>
      <c r="AJ18" s="50"/>
      <c r="AK18" s="50"/>
      <c r="AL18" s="50"/>
      <c r="AM18" s="50"/>
      <c r="AN18" s="50"/>
    </row>
    <row r="19" ht="15.75" customHeight="1">
      <c r="A19" s="33">
        <v>16.0</v>
      </c>
      <c r="B19" s="34" t="s">
        <v>429</v>
      </c>
      <c r="C19" s="50" t="s">
        <v>70</v>
      </c>
      <c r="D19" s="34"/>
      <c r="E19" s="34"/>
      <c r="F19" s="34">
        <v>500.0</v>
      </c>
      <c r="G19" s="34" t="s">
        <v>135</v>
      </c>
      <c r="H19" s="51">
        <v>46075.0</v>
      </c>
      <c r="I19" s="34" t="s">
        <v>433</v>
      </c>
      <c r="J19" s="55" t="s">
        <v>39</v>
      </c>
      <c r="K19" s="34"/>
      <c r="L19" s="34"/>
      <c r="M19" s="34"/>
      <c r="N19" s="34"/>
      <c r="O19" s="50"/>
      <c r="P19" s="34"/>
      <c r="Q19" s="34"/>
      <c r="R19" s="34"/>
      <c r="S19" s="34"/>
      <c r="T19" s="50"/>
      <c r="U19" s="34"/>
      <c r="V19" s="34"/>
      <c r="W19" s="34"/>
      <c r="X19" s="34"/>
      <c r="Y19" s="50"/>
      <c r="Z19" s="34"/>
      <c r="AA19" s="34"/>
      <c r="AB19" s="34"/>
      <c r="AC19" s="34"/>
      <c r="AD19" s="50"/>
      <c r="AE19" s="34"/>
      <c r="AF19" s="34"/>
      <c r="AG19" s="34"/>
      <c r="AH19" s="34"/>
      <c r="AI19" s="50"/>
      <c r="AJ19" s="50"/>
      <c r="AK19" s="50"/>
      <c r="AL19" s="50"/>
      <c r="AM19" s="50"/>
      <c r="AN19" s="50"/>
    </row>
    <row r="20" ht="15.75" customHeight="1">
      <c r="A20" s="33">
        <v>17.0</v>
      </c>
      <c r="B20" s="34" t="s">
        <v>442</v>
      </c>
      <c r="C20" s="50" t="s">
        <v>70</v>
      </c>
      <c r="D20" s="34">
        <v>9.916833888E9</v>
      </c>
      <c r="E20" s="34" t="s">
        <v>443</v>
      </c>
      <c r="F20" s="34">
        <v>500.0</v>
      </c>
      <c r="G20" s="34" t="s">
        <v>135</v>
      </c>
      <c r="H20" s="51">
        <v>46075.0</v>
      </c>
      <c r="I20" s="34" t="s">
        <v>446</v>
      </c>
      <c r="J20" s="50" t="s">
        <v>39</v>
      </c>
      <c r="K20" s="34"/>
      <c r="L20" s="34"/>
      <c r="M20" s="34"/>
      <c r="N20" s="34"/>
      <c r="O20" s="50"/>
      <c r="P20" s="34"/>
      <c r="Q20" s="34"/>
      <c r="R20" s="34"/>
      <c r="S20" s="34"/>
      <c r="T20" s="50"/>
      <c r="U20" s="34"/>
      <c r="V20" s="34"/>
      <c r="W20" s="34"/>
      <c r="X20" s="34"/>
      <c r="Y20" s="50"/>
      <c r="Z20" s="34"/>
      <c r="AA20" s="34"/>
      <c r="AB20" s="34"/>
      <c r="AC20" s="34"/>
      <c r="AD20" s="50"/>
      <c r="AE20" s="34"/>
      <c r="AF20" s="34"/>
      <c r="AG20" s="34"/>
      <c r="AH20" s="34"/>
      <c r="AI20" s="50"/>
      <c r="AJ20" s="50"/>
      <c r="AK20" s="50"/>
      <c r="AL20" s="50"/>
      <c r="AM20" s="50"/>
      <c r="AN20" s="50"/>
    </row>
    <row r="21" ht="15.75" customHeight="1">
      <c r="A21" s="33">
        <v>18.0</v>
      </c>
      <c r="B21" s="34" t="s">
        <v>458</v>
      </c>
      <c r="C21" s="50" t="s">
        <v>70</v>
      </c>
      <c r="D21" s="34">
        <v>8.558986533E9</v>
      </c>
      <c r="E21" s="34" t="s">
        <v>460</v>
      </c>
      <c r="F21" s="34">
        <v>500.0</v>
      </c>
      <c r="G21" s="34" t="s">
        <v>135</v>
      </c>
      <c r="H21" s="51">
        <v>46075.0</v>
      </c>
      <c r="I21" s="34" t="s">
        <v>464</v>
      </c>
      <c r="J21" s="50" t="s">
        <v>39</v>
      </c>
      <c r="K21" s="34"/>
      <c r="L21" s="34"/>
      <c r="M21" s="34"/>
      <c r="N21" s="34"/>
      <c r="O21" s="50"/>
      <c r="P21" s="34"/>
      <c r="Q21" s="34"/>
      <c r="R21" s="34"/>
      <c r="S21" s="34"/>
      <c r="T21" s="50"/>
      <c r="U21" s="34"/>
      <c r="V21" s="34"/>
      <c r="W21" s="34"/>
      <c r="X21" s="34"/>
      <c r="Y21" s="50"/>
      <c r="Z21" s="34"/>
      <c r="AA21" s="34"/>
      <c r="AB21" s="34"/>
      <c r="AC21" s="34"/>
      <c r="AD21" s="50"/>
      <c r="AE21" s="34"/>
      <c r="AF21" s="34"/>
      <c r="AG21" s="34"/>
      <c r="AH21" s="34"/>
      <c r="AI21" s="50"/>
      <c r="AJ21" s="50"/>
      <c r="AK21" s="50"/>
      <c r="AL21" s="50"/>
      <c r="AM21" s="50"/>
      <c r="AN21" s="50"/>
    </row>
    <row r="22" ht="15.75" customHeight="1">
      <c r="A22" s="33">
        <v>19.0</v>
      </c>
      <c r="B22" s="34" t="s">
        <v>480</v>
      </c>
      <c r="C22" s="50" t="s">
        <v>171</v>
      </c>
      <c r="D22" s="34">
        <v>9.988892225E9</v>
      </c>
      <c r="E22" s="34" t="s">
        <v>482</v>
      </c>
      <c r="F22" s="34">
        <v>500.0</v>
      </c>
      <c r="G22" s="52" t="s">
        <v>135</v>
      </c>
      <c r="H22" s="51">
        <v>46076.0</v>
      </c>
      <c r="I22" s="34" t="s">
        <v>485</v>
      </c>
      <c r="J22" s="50" t="s">
        <v>39</v>
      </c>
      <c r="K22" s="34"/>
      <c r="L22" s="34"/>
      <c r="M22" s="34"/>
      <c r="N22" s="34"/>
      <c r="O22" s="50"/>
      <c r="P22" s="34"/>
      <c r="Q22" s="34"/>
      <c r="R22" s="34"/>
      <c r="S22" s="34"/>
      <c r="T22" s="50"/>
      <c r="U22" s="34"/>
      <c r="V22" s="34"/>
      <c r="W22" s="34"/>
      <c r="X22" s="34"/>
      <c r="Y22" s="50"/>
      <c r="Z22" s="34"/>
      <c r="AA22" s="34"/>
      <c r="AB22" s="34"/>
      <c r="AC22" s="34"/>
      <c r="AD22" s="50"/>
      <c r="AE22" s="34"/>
      <c r="AF22" s="34"/>
      <c r="AG22" s="34"/>
      <c r="AH22" s="34"/>
      <c r="AI22" s="50"/>
      <c r="AJ22" s="50"/>
      <c r="AK22" s="50"/>
      <c r="AL22" s="50"/>
      <c r="AM22" s="50"/>
      <c r="AN22" s="50"/>
    </row>
    <row r="23" ht="15.75" customHeight="1">
      <c r="A23" s="33">
        <v>20.0</v>
      </c>
      <c r="B23" s="52" t="s">
        <v>500</v>
      </c>
      <c r="C23" s="50" t="s">
        <v>171</v>
      </c>
      <c r="D23" s="34">
        <v>8.427924051E9</v>
      </c>
      <c r="E23" s="34" t="s">
        <v>503</v>
      </c>
      <c r="F23" s="34">
        <v>500.0</v>
      </c>
      <c r="G23" s="52" t="s">
        <v>135</v>
      </c>
      <c r="H23" s="51">
        <v>46076.0</v>
      </c>
      <c r="I23" s="34" t="s">
        <v>505</v>
      </c>
      <c r="J23" s="50" t="s">
        <v>39</v>
      </c>
      <c r="K23" s="52">
        <v>500.0</v>
      </c>
      <c r="L23" s="52" t="s">
        <v>135</v>
      </c>
      <c r="M23" s="53">
        <v>46096.0</v>
      </c>
      <c r="N23" s="52" t="s">
        <v>509</v>
      </c>
      <c r="O23" s="50"/>
      <c r="P23" s="52">
        <v>500.0</v>
      </c>
      <c r="Q23" s="52" t="s">
        <v>135</v>
      </c>
      <c r="R23" s="53">
        <v>46132.0</v>
      </c>
      <c r="S23" s="52" t="s">
        <v>512</v>
      </c>
      <c r="T23" s="55" t="s">
        <v>39</v>
      </c>
      <c r="U23" s="34"/>
      <c r="V23" s="34"/>
      <c r="W23" s="34"/>
      <c r="X23" s="34"/>
      <c r="Y23" s="50"/>
      <c r="Z23" s="34"/>
      <c r="AA23" s="34"/>
      <c r="AB23" s="34"/>
      <c r="AC23" s="34"/>
      <c r="AD23" s="50"/>
      <c r="AE23" s="34"/>
      <c r="AF23" s="34"/>
      <c r="AG23" s="34"/>
      <c r="AH23" s="34"/>
      <c r="AI23" s="50"/>
      <c r="AJ23" s="50"/>
      <c r="AK23" s="50"/>
      <c r="AL23" s="50"/>
      <c r="AM23" s="50"/>
      <c r="AN23" s="50"/>
    </row>
    <row r="24" ht="15.75" customHeight="1">
      <c r="A24" s="33">
        <v>21.0</v>
      </c>
      <c r="B24" s="52" t="s">
        <v>523</v>
      </c>
      <c r="C24" s="55" t="s">
        <v>61</v>
      </c>
      <c r="D24" s="52">
        <v>9.876777108E9</v>
      </c>
      <c r="E24" s="52" t="s">
        <v>525</v>
      </c>
      <c r="F24" s="52">
        <v>500.0</v>
      </c>
      <c r="G24" s="52" t="s">
        <v>135</v>
      </c>
      <c r="H24" s="63">
        <v>46076.0</v>
      </c>
      <c r="I24" s="52" t="s">
        <v>528</v>
      </c>
      <c r="J24" s="55" t="s">
        <v>39</v>
      </c>
      <c r="K24" s="34"/>
      <c r="L24" s="34"/>
      <c r="M24" s="34"/>
      <c r="N24" s="34"/>
      <c r="O24" s="50"/>
      <c r="P24" s="34"/>
      <c r="Q24" s="34"/>
      <c r="R24" s="34"/>
      <c r="S24" s="34"/>
      <c r="T24" s="50"/>
      <c r="U24" s="34"/>
      <c r="V24" s="34"/>
      <c r="W24" s="34"/>
      <c r="X24" s="34"/>
      <c r="Y24" s="50"/>
      <c r="Z24" s="34"/>
      <c r="AA24" s="34"/>
      <c r="AB24" s="34"/>
      <c r="AC24" s="34"/>
      <c r="AD24" s="50"/>
      <c r="AE24" s="34"/>
      <c r="AF24" s="34"/>
      <c r="AG24" s="34"/>
      <c r="AH24" s="34"/>
      <c r="AI24" s="50"/>
      <c r="AJ24" s="50"/>
      <c r="AK24" s="50"/>
      <c r="AL24" s="50"/>
      <c r="AM24" s="50"/>
      <c r="AN24" s="50"/>
    </row>
    <row r="25" ht="15.75" customHeight="1">
      <c r="A25" s="33">
        <v>22.0</v>
      </c>
      <c r="B25" s="52" t="s">
        <v>545</v>
      </c>
      <c r="C25" s="55" t="s">
        <v>61</v>
      </c>
      <c r="D25" s="52">
        <v>8.837859411E9</v>
      </c>
      <c r="E25" s="52" t="s">
        <v>547</v>
      </c>
      <c r="F25" s="52">
        <v>500.0</v>
      </c>
      <c r="G25" s="52" t="s">
        <v>135</v>
      </c>
      <c r="H25" s="63">
        <v>46078.0</v>
      </c>
      <c r="I25" s="52" t="s">
        <v>549</v>
      </c>
      <c r="J25" s="55" t="s">
        <v>39</v>
      </c>
      <c r="K25" s="34"/>
      <c r="L25" s="34"/>
      <c r="M25" s="34"/>
      <c r="N25" s="34"/>
      <c r="O25" s="50"/>
      <c r="P25" s="34"/>
      <c r="Q25" s="34"/>
      <c r="R25" s="34"/>
      <c r="S25" s="34"/>
      <c r="T25" s="50"/>
      <c r="U25" s="34"/>
      <c r="V25" s="34"/>
      <c r="W25" s="34"/>
      <c r="X25" s="34"/>
      <c r="Y25" s="50"/>
      <c r="Z25" s="34"/>
      <c r="AA25" s="34"/>
      <c r="AB25" s="34"/>
      <c r="AC25" s="34"/>
      <c r="AD25" s="50"/>
      <c r="AE25" s="34"/>
      <c r="AF25" s="34"/>
      <c r="AG25" s="34"/>
      <c r="AH25" s="34"/>
      <c r="AI25" s="50"/>
      <c r="AJ25" s="50"/>
      <c r="AK25" s="50"/>
      <c r="AL25" s="50"/>
      <c r="AM25" s="50"/>
      <c r="AN25" s="50"/>
    </row>
    <row r="26" ht="15.75" customHeight="1">
      <c r="A26" s="33">
        <v>23.0</v>
      </c>
      <c r="B26" s="52" t="s">
        <v>563</v>
      </c>
      <c r="C26" s="55" t="s">
        <v>61</v>
      </c>
      <c r="D26" s="34"/>
      <c r="E26" s="52" t="s">
        <v>565</v>
      </c>
      <c r="F26" s="52">
        <v>500.0</v>
      </c>
      <c r="G26" s="52" t="s">
        <v>135</v>
      </c>
      <c r="H26" s="63">
        <v>46079.0</v>
      </c>
      <c r="I26" s="52" t="s">
        <v>568</v>
      </c>
      <c r="J26" s="55" t="s">
        <v>39</v>
      </c>
      <c r="K26" s="34"/>
      <c r="L26" s="34"/>
      <c r="M26" s="34"/>
      <c r="N26" s="34"/>
      <c r="O26" s="50"/>
      <c r="P26" s="52"/>
      <c r="Q26" s="52"/>
      <c r="R26" s="53"/>
      <c r="S26" s="52"/>
      <c r="T26" s="55"/>
      <c r="U26" s="52"/>
      <c r="V26" s="52"/>
      <c r="W26" s="53"/>
      <c r="X26" s="52"/>
      <c r="Y26" s="55"/>
      <c r="Z26" s="34"/>
      <c r="AA26" s="34"/>
      <c r="AB26" s="34"/>
      <c r="AC26" s="34"/>
      <c r="AD26" s="50"/>
      <c r="AE26" s="34"/>
      <c r="AF26" s="34"/>
      <c r="AG26" s="34"/>
      <c r="AH26" s="34"/>
      <c r="AI26" s="50"/>
      <c r="AJ26" s="50"/>
      <c r="AK26" s="50"/>
      <c r="AL26" s="50"/>
      <c r="AM26" s="50"/>
      <c r="AN26" s="50"/>
    </row>
    <row r="27" ht="15.75" customHeight="1">
      <c r="A27" s="33">
        <v>24.0</v>
      </c>
      <c r="B27" s="52" t="s">
        <v>583</v>
      </c>
      <c r="C27" s="55" t="s">
        <v>70</v>
      </c>
      <c r="D27" s="52">
        <v>9.991703366E9</v>
      </c>
      <c r="E27" s="34"/>
      <c r="F27" s="52">
        <v>500.0</v>
      </c>
      <c r="G27" s="52" t="s">
        <v>135</v>
      </c>
      <c r="H27" s="63">
        <v>46079.0</v>
      </c>
      <c r="I27" s="52" t="s">
        <v>587</v>
      </c>
      <c r="J27" s="55" t="s">
        <v>39</v>
      </c>
      <c r="K27" s="52">
        <v>500.0</v>
      </c>
      <c r="L27" s="52" t="s">
        <v>135</v>
      </c>
      <c r="M27" s="53">
        <v>46083.0</v>
      </c>
      <c r="N27" s="52" t="s">
        <v>142</v>
      </c>
      <c r="O27" s="55" t="s">
        <v>39</v>
      </c>
      <c r="P27" s="34"/>
      <c r="Q27" s="34"/>
      <c r="R27" s="34"/>
      <c r="S27" s="34"/>
      <c r="T27" s="50"/>
      <c r="U27" s="34"/>
      <c r="V27" s="34"/>
      <c r="W27" s="34"/>
      <c r="X27" s="34"/>
      <c r="Y27" s="50"/>
      <c r="Z27" s="52">
        <v>500.0</v>
      </c>
      <c r="AA27" s="52" t="s">
        <v>135</v>
      </c>
      <c r="AB27" s="53">
        <v>46175.0</v>
      </c>
      <c r="AC27" s="52" t="s">
        <v>597</v>
      </c>
      <c r="AD27" s="55" t="s">
        <v>39</v>
      </c>
      <c r="AE27" s="52">
        <v>500.0</v>
      </c>
      <c r="AF27" s="52" t="s">
        <v>135</v>
      </c>
      <c r="AG27" s="53">
        <v>46231.0</v>
      </c>
      <c r="AH27" s="34"/>
      <c r="AI27" s="55" t="s">
        <v>39</v>
      </c>
      <c r="AJ27" s="55"/>
      <c r="AK27" s="55"/>
      <c r="AL27" s="55"/>
      <c r="AM27" s="55"/>
      <c r="AN27" s="55"/>
    </row>
    <row r="28" ht="15.75" customHeight="1">
      <c r="A28" s="33">
        <v>25.0</v>
      </c>
      <c r="B28" s="52" t="s">
        <v>605</v>
      </c>
      <c r="C28" s="55" t="s">
        <v>61</v>
      </c>
      <c r="D28" s="34"/>
      <c r="E28" s="52" t="s">
        <v>607</v>
      </c>
      <c r="F28" s="52"/>
      <c r="G28" s="52"/>
      <c r="H28" s="34"/>
      <c r="I28" s="34"/>
      <c r="J28" s="50"/>
      <c r="K28" s="52">
        <v>500.0</v>
      </c>
      <c r="L28" s="52" t="s">
        <v>135</v>
      </c>
      <c r="M28" s="53">
        <v>46083.0</v>
      </c>
      <c r="N28" s="52" t="s">
        <v>613</v>
      </c>
      <c r="O28" s="55" t="s">
        <v>39</v>
      </c>
      <c r="P28" s="34"/>
      <c r="Q28" s="34"/>
      <c r="R28" s="34"/>
      <c r="S28" s="34"/>
      <c r="T28" s="50"/>
      <c r="U28" s="34"/>
      <c r="V28" s="34"/>
      <c r="W28" s="34"/>
      <c r="X28" s="34"/>
      <c r="Y28" s="50"/>
      <c r="Z28" s="34"/>
      <c r="AA28" s="34"/>
      <c r="AB28" s="34"/>
      <c r="AC28" s="34"/>
      <c r="AD28" s="50"/>
      <c r="AE28" s="34"/>
      <c r="AF28" s="34"/>
      <c r="AG28" s="34"/>
      <c r="AH28" s="34"/>
      <c r="AI28" s="50"/>
      <c r="AJ28" s="50"/>
      <c r="AK28" s="50"/>
      <c r="AL28" s="50"/>
      <c r="AM28" s="50"/>
      <c r="AN28" s="50"/>
    </row>
    <row r="29" ht="15.75" customHeight="1">
      <c r="A29" s="33">
        <v>26.0</v>
      </c>
      <c r="B29" s="52" t="s">
        <v>623</v>
      </c>
      <c r="C29" s="55" t="s">
        <v>61</v>
      </c>
      <c r="D29" s="34"/>
      <c r="E29" s="34"/>
      <c r="F29" s="34"/>
      <c r="G29" s="34"/>
      <c r="H29" s="34"/>
      <c r="I29" s="34"/>
      <c r="J29" s="50"/>
      <c r="K29" s="52">
        <v>500.0</v>
      </c>
      <c r="L29" s="52" t="s">
        <v>135</v>
      </c>
      <c r="M29" s="53">
        <v>46096.0</v>
      </c>
      <c r="N29" s="52" t="s">
        <v>627</v>
      </c>
      <c r="O29" s="55" t="s">
        <v>39</v>
      </c>
      <c r="P29" s="52">
        <v>500.0</v>
      </c>
      <c r="Q29" s="52" t="s">
        <v>135</v>
      </c>
      <c r="R29" s="53">
        <v>46175.0</v>
      </c>
      <c r="S29" s="52" t="s">
        <v>629</v>
      </c>
      <c r="T29" s="55" t="s">
        <v>39</v>
      </c>
      <c r="U29" s="52">
        <v>500.0</v>
      </c>
      <c r="V29" s="52" t="s">
        <v>135</v>
      </c>
      <c r="W29" s="53">
        <v>46175.0</v>
      </c>
      <c r="X29" s="52" t="s">
        <v>632</v>
      </c>
      <c r="Y29" s="55" t="s">
        <v>39</v>
      </c>
      <c r="Z29" s="52">
        <v>500.0</v>
      </c>
      <c r="AA29" s="52" t="s">
        <v>135</v>
      </c>
      <c r="AB29" s="53">
        <v>46175.0</v>
      </c>
      <c r="AC29" s="52" t="s">
        <v>634</v>
      </c>
      <c r="AD29" s="55" t="s">
        <v>39</v>
      </c>
      <c r="AE29" s="34"/>
      <c r="AF29" s="34"/>
      <c r="AG29" s="34"/>
      <c r="AH29" s="34"/>
      <c r="AI29" s="50"/>
      <c r="AJ29" s="50"/>
      <c r="AK29" s="50"/>
      <c r="AL29" s="50"/>
      <c r="AM29" s="50"/>
      <c r="AN29" s="50"/>
    </row>
    <row r="30" ht="15.75" customHeight="1">
      <c r="A30" s="33">
        <v>27.0</v>
      </c>
      <c r="B30" s="52" t="s">
        <v>639</v>
      </c>
      <c r="C30" s="55" t="s">
        <v>171</v>
      </c>
      <c r="D30" s="34"/>
      <c r="E30" s="52" t="s">
        <v>200</v>
      </c>
      <c r="F30" s="34"/>
      <c r="G30" s="34"/>
      <c r="H30" s="34"/>
      <c r="I30" s="34"/>
      <c r="J30" s="50"/>
      <c r="K30" s="52">
        <v>500.0</v>
      </c>
      <c r="L30" s="52" t="s">
        <v>135</v>
      </c>
      <c r="M30" s="53">
        <v>46096.0</v>
      </c>
      <c r="N30" s="52" t="s">
        <v>643</v>
      </c>
      <c r="O30" s="55" t="s">
        <v>39</v>
      </c>
      <c r="P30" s="52">
        <v>500.0</v>
      </c>
      <c r="Q30" s="52" t="s">
        <v>135</v>
      </c>
      <c r="R30" s="53">
        <v>46132.0</v>
      </c>
      <c r="S30" s="52" t="s">
        <v>646</v>
      </c>
      <c r="T30" s="55" t="s">
        <v>39</v>
      </c>
      <c r="U30" s="34"/>
      <c r="V30" s="34"/>
      <c r="W30" s="34"/>
      <c r="X30" s="34"/>
      <c r="Y30" s="50"/>
      <c r="Z30" s="34"/>
      <c r="AA30" s="34"/>
      <c r="AB30" s="34"/>
      <c r="AC30" s="34"/>
      <c r="AD30" s="50"/>
      <c r="AE30" s="34"/>
      <c r="AF30" s="34"/>
      <c r="AG30" s="34"/>
      <c r="AH30" s="34"/>
      <c r="AI30" s="50"/>
      <c r="AJ30" s="50"/>
      <c r="AK30" s="50"/>
      <c r="AL30" s="50"/>
      <c r="AM30" s="50"/>
      <c r="AN30" s="50"/>
    </row>
    <row r="31" ht="15.75" customHeight="1">
      <c r="A31" s="33">
        <v>28.0</v>
      </c>
      <c r="B31" s="52" t="s">
        <v>656</v>
      </c>
      <c r="C31" s="55" t="s">
        <v>171</v>
      </c>
      <c r="D31" s="34"/>
      <c r="E31" s="52" t="s">
        <v>657</v>
      </c>
      <c r="F31" s="34"/>
      <c r="G31" s="34"/>
      <c r="H31" s="34"/>
      <c r="I31" s="34"/>
      <c r="J31" s="50"/>
      <c r="K31" s="52">
        <v>500.0</v>
      </c>
      <c r="L31" s="52" t="s">
        <v>135</v>
      </c>
      <c r="M31" s="53">
        <v>46096.0</v>
      </c>
      <c r="N31" s="52" t="s">
        <v>662</v>
      </c>
      <c r="O31" s="55" t="s">
        <v>39</v>
      </c>
      <c r="P31" s="52">
        <v>500.0</v>
      </c>
      <c r="Q31" s="52" t="s">
        <v>135</v>
      </c>
      <c r="R31" s="53">
        <v>46132.0</v>
      </c>
      <c r="S31" s="52" t="s">
        <v>665</v>
      </c>
      <c r="T31" s="55" t="s">
        <v>39</v>
      </c>
      <c r="U31" s="34"/>
      <c r="V31" s="34"/>
      <c r="W31" s="34"/>
      <c r="X31" s="34"/>
      <c r="Y31" s="50"/>
      <c r="Z31" s="52">
        <v>500.0</v>
      </c>
      <c r="AA31" s="52" t="s">
        <v>135</v>
      </c>
      <c r="AB31" s="53">
        <v>46183.0</v>
      </c>
      <c r="AC31" s="52" t="s">
        <v>668</v>
      </c>
      <c r="AD31" s="55" t="s">
        <v>39</v>
      </c>
      <c r="AE31" s="52">
        <v>500.0</v>
      </c>
      <c r="AF31" s="52" t="s">
        <v>135</v>
      </c>
      <c r="AG31" s="53">
        <v>46207.0</v>
      </c>
      <c r="AH31" s="52" t="s">
        <v>671</v>
      </c>
      <c r="AI31" s="55" t="s">
        <v>39</v>
      </c>
      <c r="AJ31" s="55"/>
      <c r="AK31" s="55"/>
      <c r="AL31" s="55"/>
      <c r="AM31" s="55"/>
      <c r="AN31" s="55"/>
    </row>
    <row r="32" ht="15.75" customHeight="1">
      <c r="A32" s="33">
        <v>29.0</v>
      </c>
      <c r="B32" s="52" t="s">
        <v>676</v>
      </c>
      <c r="C32" s="55" t="s">
        <v>171</v>
      </c>
      <c r="D32" s="34"/>
      <c r="E32" s="52" t="s">
        <v>677</v>
      </c>
      <c r="F32" s="34"/>
      <c r="G32" s="34"/>
      <c r="H32" s="34"/>
      <c r="I32" s="34"/>
      <c r="J32" s="50"/>
      <c r="K32" s="52">
        <v>500.0</v>
      </c>
      <c r="L32" s="52" t="s">
        <v>135</v>
      </c>
      <c r="M32" s="53">
        <v>46096.0</v>
      </c>
      <c r="N32" s="52" t="s">
        <v>678</v>
      </c>
      <c r="O32" s="55" t="s">
        <v>39</v>
      </c>
      <c r="P32" s="52">
        <v>500.0</v>
      </c>
      <c r="Q32" s="52" t="s">
        <v>135</v>
      </c>
      <c r="R32" s="53">
        <v>46132.0</v>
      </c>
      <c r="S32" s="52" t="s">
        <v>681</v>
      </c>
      <c r="T32" s="55" t="s">
        <v>39</v>
      </c>
      <c r="U32" s="34"/>
      <c r="V32" s="34"/>
      <c r="W32" s="34"/>
      <c r="X32" s="34"/>
      <c r="Y32" s="50"/>
      <c r="Z32" s="34"/>
      <c r="AA32" s="34"/>
      <c r="AB32" s="34"/>
      <c r="AC32" s="34"/>
      <c r="AD32" s="50"/>
      <c r="AE32" s="34"/>
      <c r="AF32" s="34"/>
      <c r="AG32" s="34"/>
      <c r="AH32" s="34"/>
      <c r="AI32" s="50"/>
      <c r="AJ32" s="50"/>
      <c r="AK32" s="50"/>
      <c r="AL32" s="50"/>
      <c r="AM32" s="50"/>
      <c r="AN32" s="50"/>
    </row>
    <row r="33" ht="15.75" customHeight="1">
      <c r="A33" s="33">
        <v>30.0</v>
      </c>
      <c r="B33" s="52" t="s">
        <v>684</v>
      </c>
      <c r="C33" s="55" t="s">
        <v>171</v>
      </c>
      <c r="D33" s="34"/>
      <c r="E33" s="52" t="s">
        <v>685</v>
      </c>
      <c r="F33" s="34"/>
      <c r="G33" s="34"/>
      <c r="H33" s="34"/>
      <c r="I33" s="34"/>
      <c r="J33" s="50"/>
      <c r="K33" s="52">
        <v>500.0</v>
      </c>
      <c r="L33" s="52" t="s">
        <v>135</v>
      </c>
      <c r="M33" s="53">
        <v>46096.0</v>
      </c>
      <c r="N33" s="52" t="s">
        <v>687</v>
      </c>
      <c r="O33" s="55" t="s">
        <v>39</v>
      </c>
      <c r="P33" s="52">
        <v>500.0</v>
      </c>
      <c r="Q33" s="52" t="s">
        <v>135</v>
      </c>
      <c r="R33" s="53">
        <v>46132.0</v>
      </c>
      <c r="S33" s="52" t="s">
        <v>689</v>
      </c>
      <c r="T33" s="55" t="s">
        <v>39</v>
      </c>
      <c r="U33" s="34"/>
      <c r="V33" s="34"/>
      <c r="W33" s="34"/>
      <c r="X33" s="34"/>
      <c r="Y33" s="50"/>
      <c r="Z33" s="34"/>
      <c r="AA33" s="34"/>
      <c r="AB33" s="34"/>
      <c r="AC33" s="34"/>
      <c r="AD33" s="50"/>
      <c r="AE33" s="34"/>
      <c r="AF33" s="34"/>
      <c r="AG33" s="34"/>
      <c r="AH33" s="34"/>
      <c r="AI33" s="50"/>
      <c r="AJ33" s="50"/>
      <c r="AK33" s="50"/>
      <c r="AL33" s="50"/>
      <c r="AM33" s="50"/>
      <c r="AN33" s="50"/>
    </row>
    <row r="34" ht="15.75" customHeight="1">
      <c r="A34" s="33">
        <v>31.0</v>
      </c>
      <c r="B34" s="52" t="s">
        <v>692</v>
      </c>
      <c r="C34" s="55" t="s">
        <v>171</v>
      </c>
      <c r="D34" s="34"/>
      <c r="E34" s="52" t="s">
        <v>693</v>
      </c>
      <c r="F34" s="34"/>
      <c r="G34" s="34"/>
      <c r="H34" s="34"/>
      <c r="I34" s="34"/>
      <c r="J34" s="50"/>
      <c r="K34" s="34"/>
      <c r="L34" s="34"/>
      <c r="M34" s="34"/>
      <c r="N34" s="34"/>
      <c r="O34" s="50"/>
      <c r="P34" s="52">
        <v>500.0</v>
      </c>
      <c r="Q34" s="52" t="s">
        <v>135</v>
      </c>
      <c r="R34" s="53">
        <v>46132.0</v>
      </c>
      <c r="S34" s="52" t="s">
        <v>694</v>
      </c>
      <c r="T34" s="55" t="s">
        <v>39</v>
      </c>
      <c r="U34" s="34"/>
      <c r="V34" s="34"/>
      <c r="W34" s="34"/>
      <c r="X34" s="34"/>
      <c r="Y34" s="50"/>
      <c r="Z34" s="34"/>
      <c r="AA34" s="34"/>
      <c r="AB34" s="34"/>
      <c r="AC34" s="34"/>
      <c r="AD34" s="50"/>
      <c r="AE34" s="34"/>
      <c r="AF34" s="34"/>
      <c r="AG34" s="34"/>
      <c r="AH34" s="34"/>
      <c r="AI34" s="50"/>
      <c r="AJ34" s="50"/>
      <c r="AK34" s="50"/>
      <c r="AL34" s="50"/>
      <c r="AM34" s="50"/>
      <c r="AN34" s="50"/>
    </row>
    <row r="35" ht="15.75" customHeight="1">
      <c r="A35" s="33">
        <v>32.0</v>
      </c>
      <c r="B35" s="52" t="s">
        <v>697</v>
      </c>
      <c r="C35" s="55" t="s">
        <v>61</v>
      </c>
      <c r="D35" s="34"/>
      <c r="E35" s="52" t="s">
        <v>698</v>
      </c>
      <c r="F35" s="34"/>
      <c r="G35" s="34"/>
      <c r="H35" s="34"/>
      <c r="I35" s="34"/>
      <c r="J35" s="50"/>
      <c r="K35" s="34"/>
      <c r="L35" s="34"/>
      <c r="M35" s="34"/>
      <c r="N35" s="34"/>
      <c r="O35" s="50"/>
      <c r="P35" s="34"/>
      <c r="Q35" s="34"/>
      <c r="R35" s="34"/>
      <c r="S35" s="34"/>
      <c r="T35" s="50"/>
      <c r="U35" s="52"/>
      <c r="V35" s="52"/>
      <c r="W35" s="53"/>
      <c r="X35" s="52"/>
      <c r="Y35" s="55"/>
      <c r="Z35" s="34"/>
      <c r="AA35" s="34"/>
      <c r="AB35" s="34"/>
      <c r="AC35" s="34"/>
      <c r="AD35" s="50"/>
      <c r="AE35" s="34"/>
      <c r="AF35" s="34"/>
      <c r="AG35" s="34"/>
      <c r="AH35" s="34"/>
      <c r="AI35" s="50"/>
      <c r="AJ35" s="50"/>
      <c r="AK35" s="50"/>
      <c r="AL35" s="50"/>
      <c r="AM35" s="50"/>
      <c r="AN35" s="50"/>
    </row>
    <row r="36" ht="15.75" customHeight="1">
      <c r="A36" s="33">
        <v>33.0</v>
      </c>
      <c r="B36" s="52" t="s">
        <v>82</v>
      </c>
      <c r="C36" s="55" t="s">
        <v>131</v>
      </c>
      <c r="D36" s="34"/>
      <c r="E36" s="52" t="s">
        <v>703</v>
      </c>
      <c r="F36" s="52">
        <v>500.0</v>
      </c>
      <c r="G36" s="52" t="s">
        <v>135</v>
      </c>
      <c r="H36" s="53">
        <v>46175.0</v>
      </c>
      <c r="I36" s="52" t="s">
        <v>704</v>
      </c>
      <c r="J36" s="55" t="s">
        <v>39</v>
      </c>
      <c r="K36" s="52">
        <v>500.0</v>
      </c>
      <c r="L36" s="52" t="s">
        <v>135</v>
      </c>
      <c r="M36" s="53">
        <v>46175.0</v>
      </c>
      <c r="N36" s="52" t="s">
        <v>705</v>
      </c>
      <c r="O36" s="55" t="s">
        <v>39</v>
      </c>
      <c r="P36" s="52">
        <v>500.0</v>
      </c>
      <c r="Q36" s="52" t="s">
        <v>135</v>
      </c>
      <c r="R36" s="53">
        <v>46175.0</v>
      </c>
      <c r="S36" s="52" t="s">
        <v>708</v>
      </c>
      <c r="T36" s="55" t="s">
        <v>39</v>
      </c>
      <c r="U36" s="52">
        <v>500.0</v>
      </c>
      <c r="V36" s="52" t="s">
        <v>135</v>
      </c>
      <c r="W36" s="53">
        <v>46175.0</v>
      </c>
      <c r="X36" s="52" t="s">
        <v>709</v>
      </c>
      <c r="Y36" s="55" t="s">
        <v>39</v>
      </c>
      <c r="Z36" s="52">
        <v>500.0</v>
      </c>
      <c r="AA36" s="52" t="s">
        <v>135</v>
      </c>
      <c r="AB36" s="53">
        <v>46175.0</v>
      </c>
      <c r="AC36" s="52" t="s">
        <v>710</v>
      </c>
      <c r="AD36" s="55" t="s">
        <v>39</v>
      </c>
      <c r="AE36" s="52">
        <v>500.0</v>
      </c>
      <c r="AF36" s="52" t="s">
        <v>135</v>
      </c>
      <c r="AG36" s="53">
        <v>46175.0</v>
      </c>
      <c r="AH36" s="52" t="s">
        <v>711</v>
      </c>
      <c r="AI36" s="55" t="s">
        <v>39</v>
      </c>
      <c r="AJ36" s="55"/>
      <c r="AK36" s="55"/>
      <c r="AL36" s="55"/>
      <c r="AM36" s="55"/>
      <c r="AN36" s="55"/>
    </row>
    <row r="37" ht="15.75" customHeight="1">
      <c r="A37" s="33">
        <v>34.0</v>
      </c>
      <c r="B37" s="52" t="s">
        <v>714</v>
      </c>
      <c r="C37" s="55" t="s">
        <v>171</v>
      </c>
      <c r="D37" s="34"/>
      <c r="E37" s="34"/>
      <c r="F37" s="34"/>
      <c r="G37" s="34"/>
      <c r="H37" s="34"/>
      <c r="I37" s="34"/>
      <c r="J37" s="50"/>
      <c r="K37" s="34"/>
      <c r="L37" s="34"/>
      <c r="M37" s="34"/>
      <c r="N37" s="34"/>
      <c r="O37" s="50"/>
      <c r="P37" s="34"/>
      <c r="Q37" s="34"/>
      <c r="R37" s="34"/>
      <c r="S37" s="34"/>
      <c r="T37" s="50"/>
      <c r="U37" s="34"/>
      <c r="V37" s="34"/>
      <c r="W37" s="34"/>
      <c r="X37" s="34"/>
      <c r="Y37" s="50"/>
      <c r="Z37" s="52">
        <v>500.0</v>
      </c>
      <c r="AA37" s="52" t="s">
        <v>135</v>
      </c>
      <c r="AB37" s="53">
        <v>46183.0</v>
      </c>
      <c r="AC37" s="52" t="s">
        <v>717</v>
      </c>
      <c r="AD37" s="55" t="s">
        <v>39</v>
      </c>
      <c r="AE37" s="34"/>
      <c r="AF37" s="34"/>
      <c r="AG37" s="34"/>
      <c r="AH37" s="34"/>
      <c r="AI37" s="50"/>
      <c r="AJ37" s="50"/>
      <c r="AK37" s="50"/>
      <c r="AL37" s="50"/>
      <c r="AM37" s="50"/>
      <c r="AN37" s="50"/>
    </row>
    <row r="38" ht="15.75" customHeight="1">
      <c r="A38" s="33">
        <v>35.0</v>
      </c>
      <c r="B38" s="52" t="s">
        <v>720</v>
      </c>
      <c r="C38" s="55" t="s">
        <v>313</v>
      </c>
      <c r="D38" s="34"/>
      <c r="E38" s="34"/>
      <c r="F38" s="34"/>
      <c r="G38" s="34"/>
      <c r="H38" s="34"/>
      <c r="I38" s="34"/>
      <c r="J38" s="50"/>
      <c r="K38" s="34"/>
      <c r="L38" s="34"/>
      <c r="M38" s="34"/>
      <c r="N38" s="34"/>
      <c r="O38" s="50"/>
      <c r="P38" s="52">
        <v>500.0</v>
      </c>
      <c r="Q38" s="52" t="s">
        <v>135</v>
      </c>
      <c r="R38" s="53">
        <v>46183.0</v>
      </c>
      <c r="S38" s="52" t="s">
        <v>721</v>
      </c>
      <c r="T38" s="55" t="s">
        <v>39</v>
      </c>
      <c r="U38" s="52">
        <v>500.0</v>
      </c>
      <c r="V38" s="52" t="s">
        <v>135</v>
      </c>
      <c r="W38" s="53">
        <v>46183.0</v>
      </c>
      <c r="X38" s="52" t="s">
        <v>722</v>
      </c>
      <c r="Y38" s="55" t="s">
        <v>39</v>
      </c>
      <c r="Z38" s="52">
        <v>500.0</v>
      </c>
      <c r="AA38" s="52" t="s">
        <v>135</v>
      </c>
      <c r="AB38" s="53">
        <v>46183.0</v>
      </c>
      <c r="AC38" s="52" t="s">
        <v>723</v>
      </c>
      <c r="AD38" s="55" t="s">
        <v>39</v>
      </c>
      <c r="AE38" s="34"/>
      <c r="AF38" s="34"/>
      <c r="AG38" s="34"/>
      <c r="AH38" s="34"/>
      <c r="AI38" s="50"/>
      <c r="AJ38" s="50"/>
      <c r="AK38" s="50"/>
      <c r="AL38" s="50"/>
      <c r="AM38" s="50"/>
      <c r="AN38" s="50"/>
    </row>
    <row r="39" ht="15.75" customHeight="1">
      <c r="A39" s="33">
        <v>36.0</v>
      </c>
      <c r="B39" s="52" t="s">
        <v>725</v>
      </c>
      <c r="C39" s="55" t="s">
        <v>313</v>
      </c>
      <c r="D39" s="34"/>
      <c r="E39" s="34"/>
      <c r="F39" s="34"/>
      <c r="G39" s="34"/>
      <c r="H39" s="34"/>
      <c r="I39" s="34"/>
      <c r="J39" s="50"/>
      <c r="K39" s="34"/>
      <c r="L39" s="34"/>
      <c r="M39" s="34"/>
      <c r="N39" s="34"/>
      <c r="O39" s="50"/>
      <c r="P39" s="52">
        <v>500.0</v>
      </c>
      <c r="Q39" s="52" t="s">
        <v>135</v>
      </c>
      <c r="R39" s="53">
        <v>46183.0</v>
      </c>
      <c r="S39" s="52" t="s">
        <v>727</v>
      </c>
      <c r="T39" s="55" t="s">
        <v>39</v>
      </c>
      <c r="U39" s="52">
        <v>500.0</v>
      </c>
      <c r="V39" s="52" t="s">
        <v>135</v>
      </c>
      <c r="W39" s="53">
        <v>46183.0</v>
      </c>
      <c r="X39" s="52" t="s">
        <v>729</v>
      </c>
      <c r="Y39" s="55" t="s">
        <v>39</v>
      </c>
      <c r="Z39" s="52">
        <v>500.0</v>
      </c>
      <c r="AA39" s="52" t="s">
        <v>135</v>
      </c>
      <c r="AB39" s="53">
        <v>46183.0</v>
      </c>
      <c r="AC39" s="52" t="s">
        <v>730</v>
      </c>
      <c r="AD39" s="55" t="s">
        <v>39</v>
      </c>
      <c r="AE39" s="34"/>
      <c r="AF39" s="34"/>
      <c r="AG39" s="34"/>
      <c r="AH39" s="34"/>
      <c r="AI39" s="50"/>
      <c r="AJ39" s="50"/>
      <c r="AK39" s="50"/>
      <c r="AL39" s="50"/>
      <c r="AM39" s="50"/>
      <c r="AN39" s="50"/>
    </row>
    <row r="40" ht="15.75" customHeight="1">
      <c r="A40" s="33">
        <v>37.0</v>
      </c>
      <c r="B40" s="52" t="s">
        <v>733</v>
      </c>
      <c r="C40" s="55" t="s">
        <v>313</v>
      </c>
      <c r="D40" s="34"/>
      <c r="E40" s="34"/>
      <c r="F40" s="34"/>
      <c r="G40" s="34"/>
      <c r="H40" s="34"/>
      <c r="I40" s="34"/>
      <c r="J40" s="50"/>
      <c r="K40" s="34"/>
      <c r="L40" s="34"/>
      <c r="M40" s="34"/>
      <c r="N40" s="34"/>
      <c r="O40" s="50"/>
      <c r="P40" s="52">
        <v>500.0</v>
      </c>
      <c r="Q40" s="52" t="s">
        <v>135</v>
      </c>
      <c r="R40" s="53">
        <v>46183.0</v>
      </c>
      <c r="S40" s="52" t="s">
        <v>734</v>
      </c>
      <c r="T40" s="55" t="s">
        <v>39</v>
      </c>
      <c r="U40" s="52">
        <v>500.0</v>
      </c>
      <c r="V40" s="52" t="s">
        <v>135</v>
      </c>
      <c r="W40" s="53">
        <v>46183.0</v>
      </c>
      <c r="X40" s="52" t="s">
        <v>737</v>
      </c>
      <c r="Y40" s="55" t="s">
        <v>39</v>
      </c>
      <c r="Z40" s="52">
        <v>500.0</v>
      </c>
      <c r="AA40" s="52" t="s">
        <v>135</v>
      </c>
      <c r="AB40" s="53">
        <v>46183.0</v>
      </c>
      <c r="AC40" s="52" t="s">
        <v>738</v>
      </c>
      <c r="AD40" s="55" t="s">
        <v>39</v>
      </c>
      <c r="AE40" s="34"/>
      <c r="AF40" s="34"/>
      <c r="AG40" s="34"/>
      <c r="AH40" s="34"/>
      <c r="AI40" s="50"/>
      <c r="AJ40" s="50"/>
      <c r="AK40" s="50"/>
      <c r="AL40" s="50"/>
      <c r="AM40" s="50"/>
      <c r="AN40" s="50"/>
    </row>
    <row r="41" ht="15.75" customHeight="1">
      <c r="A41" s="33">
        <v>38.0</v>
      </c>
      <c r="B41" s="52" t="s">
        <v>739</v>
      </c>
      <c r="C41" s="55" t="s">
        <v>313</v>
      </c>
      <c r="D41" s="34"/>
      <c r="E41" s="34"/>
      <c r="F41" s="34"/>
      <c r="G41" s="34"/>
      <c r="H41" s="34"/>
      <c r="I41" s="34"/>
      <c r="J41" s="50"/>
      <c r="K41" s="34"/>
      <c r="L41" s="34"/>
      <c r="M41" s="34"/>
      <c r="N41" s="34"/>
      <c r="O41" s="50"/>
      <c r="P41" s="34"/>
      <c r="Q41" s="34"/>
      <c r="R41" s="34"/>
      <c r="S41" s="34"/>
      <c r="T41" s="50"/>
      <c r="U41" s="34"/>
      <c r="V41" s="34"/>
      <c r="W41" s="34"/>
      <c r="X41" s="34"/>
      <c r="Y41" s="50"/>
      <c r="Z41" s="52">
        <v>500.0</v>
      </c>
      <c r="AA41" s="52" t="s">
        <v>135</v>
      </c>
      <c r="AB41" s="53">
        <v>46183.0</v>
      </c>
      <c r="AC41" s="52" t="s">
        <v>742</v>
      </c>
      <c r="AD41" s="55" t="s">
        <v>39</v>
      </c>
      <c r="AE41" s="34"/>
      <c r="AF41" s="34"/>
      <c r="AG41" s="34"/>
      <c r="AH41" s="34"/>
      <c r="AI41" s="50"/>
      <c r="AJ41" s="50"/>
      <c r="AK41" s="50"/>
      <c r="AL41" s="50"/>
      <c r="AM41" s="50"/>
      <c r="AN41" s="50"/>
    </row>
    <row r="42" ht="15.75" customHeight="1">
      <c r="A42" s="33">
        <v>39.0</v>
      </c>
      <c r="B42" s="52" t="s">
        <v>744</v>
      </c>
      <c r="C42" s="50"/>
      <c r="D42" s="34"/>
      <c r="E42" s="34"/>
      <c r="F42" s="34"/>
      <c r="G42" s="34"/>
      <c r="H42" s="34"/>
      <c r="I42" s="34"/>
      <c r="J42" s="50"/>
      <c r="K42" s="34"/>
      <c r="L42" s="34"/>
      <c r="M42" s="34"/>
      <c r="N42" s="34"/>
      <c r="O42" s="50"/>
      <c r="P42" s="34"/>
      <c r="Q42" s="34"/>
      <c r="R42" s="34"/>
      <c r="S42" s="34"/>
      <c r="T42" s="50"/>
      <c r="U42" s="34"/>
      <c r="V42" s="34"/>
      <c r="W42" s="34"/>
      <c r="X42" s="34"/>
      <c r="Y42" s="50"/>
      <c r="Z42" s="34"/>
      <c r="AA42" s="34"/>
      <c r="AB42" s="34"/>
      <c r="AC42" s="34"/>
      <c r="AD42" s="50"/>
      <c r="AE42" s="52">
        <v>500.0</v>
      </c>
      <c r="AF42" s="52" t="s">
        <v>135</v>
      </c>
      <c r="AG42" s="53">
        <v>46207.0</v>
      </c>
      <c r="AH42" s="52" t="s">
        <v>747</v>
      </c>
      <c r="AI42" s="55" t="s">
        <v>39</v>
      </c>
      <c r="AJ42" s="55"/>
      <c r="AK42" s="55"/>
      <c r="AL42" s="55"/>
      <c r="AM42" s="55"/>
      <c r="AN42" s="55"/>
    </row>
    <row r="43" ht="15.75" customHeight="1">
      <c r="A43" s="33">
        <v>40.0</v>
      </c>
      <c r="B43" s="34"/>
      <c r="C43" s="50"/>
      <c r="D43" s="34"/>
      <c r="E43" s="34"/>
      <c r="F43" s="34"/>
      <c r="G43" s="34"/>
      <c r="H43" s="34"/>
      <c r="I43" s="34"/>
      <c r="J43" s="50"/>
      <c r="K43" s="34"/>
      <c r="L43" s="34"/>
      <c r="M43" s="34"/>
      <c r="N43" s="34"/>
      <c r="O43" s="50"/>
      <c r="P43" s="34"/>
      <c r="Q43" s="34"/>
      <c r="R43" s="34"/>
      <c r="S43" s="34"/>
      <c r="T43" s="50"/>
      <c r="U43" s="34"/>
      <c r="V43" s="34"/>
      <c r="W43" s="34"/>
      <c r="X43" s="34"/>
      <c r="Y43" s="50"/>
      <c r="Z43" s="34"/>
      <c r="AA43" s="34"/>
      <c r="AB43" s="34"/>
      <c r="AC43" s="34"/>
      <c r="AD43" s="50"/>
      <c r="AE43" s="34"/>
      <c r="AF43" s="34"/>
      <c r="AG43" s="34"/>
      <c r="AH43" s="34"/>
      <c r="AI43" s="50"/>
      <c r="AJ43" s="50"/>
      <c r="AK43" s="50"/>
      <c r="AL43" s="50"/>
      <c r="AM43" s="50"/>
      <c r="AN43" s="50"/>
    </row>
    <row r="44" ht="15.75" customHeight="1">
      <c r="A44" s="33">
        <v>41.0</v>
      </c>
      <c r="B44" s="34"/>
      <c r="C44" s="50"/>
      <c r="D44" s="34"/>
      <c r="E44" s="34"/>
      <c r="F44" s="34"/>
      <c r="G44" s="34"/>
      <c r="H44" s="34"/>
      <c r="I44" s="34"/>
      <c r="J44" s="50"/>
      <c r="K44" s="34"/>
      <c r="L44" s="34"/>
      <c r="M44" s="34"/>
      <c r="N44" s="34"/>
      <c r="O44" s="50"/>
      <c r="P44" s="34"/>
      <c r="Q44" s="34"/>
      <c r="R44" s="34"/>
      <c r="S44" s="34"/>
      <c r="T44" s="50"/>
      <c r="U44" s="34"/>
      <c r="V44" s="34"/>
      <c r="W44" s="34"/>
      <c r="X44" s="34"/>
      <c r="Y44" s="50"/>
      <c r="Z44" s="34"/>
      <c r="AA44" s="34"/>
      <c r="AB44" s="34"/>
      <c r="AC44" s="34"/>
      <c r="AD44" s="50"/>
      <c r="AE44" s="34"/>
      <c r="AF44" s="34"/>
      <c r="AG44" s="34"/>
      <c r="AH44" s="34"/>
      <c r="AI44" s="50"/>
      <c r="AJ44" s="50"/>
      <c r="AK44" s="50"/>
      <c r="AL44" s="50"/>
      <c r="AM44" s="50"/>
      <c r="AN44" s="50"/>
    </row>
    <row r="45" ht="15.75" customHeight="1">
      <c r="A45" s="33">
        <v>42.0</v>
      </c>
      <c r="B45" s="34"/>
      <c r="C45" s="50"/>
      <c r="D45" s="34"/>
      <c r="E45" s="34"/>
      <c r="F45" s="34"/>
      <c r="G45" s="34"/>
      <c r="H45" s="34"/>
      <c r="I45" s="34"/>
      <c r="J45" s="50"/>
      <c r="K45" s="34"/>
      <c r="L45" s="34"/>
      <c r="M45" s="34"/>
      <c r="N45" s="34"/>
      <c r="O45" s="50"/>
      <c r="P45" s="34"/>
      <c r="Q45" s="34"/>
      <c r="R45" s="34"/>
      <c r="S45" s="34"/>
      <c r="T45" s="50"/>
      <c r="U45" s="34"/>
      <c r="V45" s="34"/>
      <c r="W45" s="34"/>
      <c r="X45" s="34"/>
      <c r="Y45" s="50"/>
      <c r="Z45" s="34"/>
      <c r="AA45" s="34"/>
      <c r="AB45" s="34"/>
      <c r="AC45" s="34"/>
      <c r="AD45" s="50"/>
      <c r="AE45" s="34"/>
      <c r="AF45" s="34"/>
      <c r="AG45" s="34"/>
      <c r="AH45" s="34"/>
      <c r="AI45" s="50"/>
      <c r="AJ45" s="50"/>
      <c r="AK45" s="50"/>
      <c r="AL45" s="50"/>
      <c r="AM45" s="50"/>
      <c r="AN45" s="50"/>
    </row>
    <row r="46" ht="15.75" customHeight="1">
      <c r="A46" s="33">
        <v>43.0</v>
      </c>
      <c r="B46" s="34"/>
      <c r="C46" s="50"/>
      <c r="D46" s="34"/>
      <c r="E46" s="34"/>
      <c r="F46" s="34"/>
      <c r="G46" s="34"/>
      <c r="H46" s="34"/>
      <c r="I46" s="34"/>
      <c r="J46" s="50"/>
      <c r="K46" s="34"/>
      <c r="L46" s="34"/>
      <c r="M46" s="34"/>
      <c r="N46" s="34"/>
      <c r="O46" s="50"/>
      <c r="P46" s="34"/>
      <c r="Q46" s="34"/>
      <c r="R46" s="34"/>
      <c r="S46" s="34"/>
      <c r="T46" s="50"/>
      <c r="U46" s="34"/>
      <c r="V46" s="34"/>
      <c r="W46" s="34"/>
      <c r="X46" s="34"/>
      <c r="Y46" s="50"/>
      <c r="Z46" s="34"/>
      <c r="AA46" s="34"/>
      <c r="AB46" s="34"/>
      <c r="AC46" s="34"/>
      <c r="AD46" s="50"/>
      <c r="AE46" s="34"/>
      <c r="AF46" s="34"/>
      <c r="AG46" s="34"/>
      <c r="AH46" s="34"/>
      <c r="AI46" s="50"/>
      <c r="AJ46" s="50"/>
      <c r="AK46" s="50"/>
      <c r="AL46" s="50"/>
      <c r="AM46" s="50"/>
      <c r="AN46" s="50"/>
    </row>
    <row r="47" ht="15.75" customHeight="1">
      <c r="A47" s="33">
        <v>44.0</v>
      </c>
      <c r="B47" s="34"/>
      <c r="C47" s="50"/>
      <c r="D47" s="34"/>
      <c r="E47" s="34"/>
      <c r="F47" s="34"/>
      <c r="G47" s="34"/>
      <c r="H47" s="34"/>
      <c r="I47" s="34"/>
      <c r="J47" s="50"/>
      <c r="K47" s="34"/>
      <c r="L47" s="34"/>
      <c r="M47" s="34"/>
      <c r="N47" s="34"/>
      <c r="O47" s="50"/>
      <c r="P47" s="34"/>
      <c r="Q47" s="34"/>
      <c r="R47" s="34"/>
      <c r="S47" s="34"/>
      <c r="T47" s="50"/>
      <c r="U47" s="34"/>
      <c r="V47" s="34"/>
      <c r="W47" s="34"/>
      <c r="X47" s="34"/>
      <c r="Y47" s="50"/>
      <c r="Z47" s="34"/>
      <c r="AA47" s="34"/>
      <c r="AB47" s="34"/>
      <c r="AC47" s="34"/>
      <c r="AD47" s="50"/>
      <c r="AE47" s="34"/>
      <c r="AF47" s="34"/>
      <c r="AG47" s="34"/>
      <c r="AH47" s="34"/>
      <c r="AI47" s="50"/>
      <c r="AJ47" s="50"/>
      <c r="AK47" s="50"/>
      <c r="AL47" s="50"/>
      <c r="AM47" s="50"/>
      <c r="AN47" s="50"/>
    </row>
    <row r="48" ht="15.75" customHeight="1">
      <c r="A48" s="33">
        <v>45.0</v>
      </c>
      <c r="B48" s="34"/>
      <c r="C48" s="50"/>
      <c r="D48" s="34"/>
      <c r="E48" s="34"/>
      <c r="F48" s="34"/>
      <c r="G48" s="34"/>
      <c r="H48" s="34"/>
      <c r="I48" s="34"/>
      <c r="J48" s="50"/>
      <c r="K48" s="34"/>
      <c r="L48" s="34"/>
      <c r="M48" s="34"/>
      <c r="N48" s="34"/>
      <c r="O48" s="50"/>
      <c r="P48" s="34"/>
      <c r="Q48" s="34"/>
      <c r="R48" s="34"/>
      <c r="S48" s="34"/>
      <c r="T48" s="50"/>
      <c r="U48" s="34"/>
      <c r="V48" s="34"/>
      <c r="W48" s="34"/>
      <c r="X48" s="34"/>
      <c r="Y48" s="50"/>
      <c r="Z48" s="34"/>
      <c r="AA48" s="34"/>
      <c r="AB48" s="34"/>
      <c r="AC48" s="34"/>
      <c r="AD48" s="50"/>
      <c r="AE48" s="34"/>
      <c r="AF48" s="34"/>
      <c r="AG48" s="34"/>
      <c r="AH48" s="34"/>
      <c r="AI48" s="50"/>
      <c r="AJ48" s="50"/>
      <c r="AK48" s="50"/>
      <c r="AL48" s="50"/>
      <c r="AM48" s="50"/>
      <c r="AN48" s="50"/>
    </row>
    <row r="49" ht="15.75" customHeight="1">
      <c r="A49" s="33">
        <v>46.0</v>
      </c>
      <c r="B49" s="34"/>
      <c r="C49" s="50"/>
      <c r="D49" s="34"/>
      <c r="E49" s="34"/>
      <c r="F49" s="34"/>
      <c r="G49" s="34"/>
      <c r="H49" s="34"/>
      <c r="I49" s="34"/>
      <c r="J49" s="50"/>
      <c r="K49" s="34"/>
      <c r="L49" s="34"/>
      <c r="M49" s="34"/>
      <c r="N49" s="34"/>
      <c r="O49" s="50"/>
      <c r="P49" s="34"/>
      <c r="Q49" s="34"/>
      <c r="R49" s="34"/>
      <c r="S49" s="34"/>
      <c r="T49" s="50"/>
      <c r="U49" s="34"/>
      <c r="V49" s="34"/>
      <c r="W49" s="34"/>
      <c r="X49" s="34"/>
      <c r="Y49" s="50"/>
      <c r="Z49" s="34"/>
      <c r="AA49" s="34"/>
      <c r="AB49" s="34"/>
      <c r="AC49" s="34"/>
      <c r="AD49" s="50"/>
      <c r="AE49" s="34"/>
      <c r="AF49" s="34"/>
      <c r="AG49" s="34"/>
      <c r="AH49" s="34"/>
      <c r="AI49" s="50"/>
      <c r="AJ49" s="50"/>
      <c r="AK49" s="50"/>
      <c r="AL49" s="50"/>
      <c r="AM49" s="50"/>
      <c r="AN49" s="50"/>
    </row>
    <row r="50" ht="15.75" customHeight="1">
      <c r="A50" s="33">
        <v>47.0</v>
      </c>
      <c r="B50" s="34"/>
      <c r="C50" s="50"/>
      <c r="D50" s="34"/>
      <c r="E50" s="34"/>
      <c r="F50" s="34"/>
      <c r="G50" s="34"/>
      <c r="H50" s="34"/>
      <c r="I50" s="34"/>
      <c r="J50" s="50"/>
      <c r="K50" s="34"/>
      <c r="L50" s="34"/>
      <c r="M50" s="34"/>
      <c r="N50" s="34"/>
      <c r="O50" s="50"/>
      <c r="P50" s="34"/>
      <c r="Q50" s="34"/>
      <c r="R50" s="34"/>
      <c r="S50" s="34"/>
      <c r="T50" s="50"/>
      <c r="U50" s="34"/>
      <c r="V50" s="34"/>
      <c r="W50" s="34"/>
      <c r="X50" s="34"/>
      <c r="Y50" s="50"/>
      <c r="Z50" s="34"/>
      <c r="AA50" s="34"/>
      <c r="AB50" s="34"/>
      <c r="AC50" s="34"/>
      <c r="AD50" s="50"/>
      <c r="AE50" s="34"/>
      <c r="AF50" s="34"/>
      <c r="AG50" s="34"/>
      <c r="AH50" s="34"/>
      <c r="AI50" s="50"/>
      <c r="AJ50" s="50"/>
      <c r="AK50" s="50"/>
      <c r="AL50" s="50"/>
      <c r="AM50" s="50"/>
      <c r="AN50" s="50"/>
    </row>
    <row r="51" ht="15.75" customHeight="1">
      <c r="A51" s="33">
        <v>48.0</v>
      </c>
      <c r="B51" s="34"/>
      <c r="C51" s="50"/>
      <c r="D51" s="34"/>
      <c r="E51" s="34"/>
      <c r="F51" s="34"/>
      <c r="G51" s="34"/>
      <c r="H51" s="34"/>
      <c r="I51" s="34"/>
      <c r="J51" s="50"/>
      <c r="K51" s="34"/>
      <c r="L51" s="34"/>
      <c r="M51" s="34"/>
      <c r="N51" s="34"/>
      <c r="O51" s="50"/>
      <c r="P51" s="34"/>
      <c r="Q51" s="34"/>
      <c r="R51" s="34"/>
      <c r="S51" s="34"/>
      <c r="T51" s="50"/>
      <c r="U51" s="34"/>
      <c r="V51" s="34"/>
      <c r="W51" s="34"/>
      <c r="X51" s="34"/>
      <c r="Y51" s="50"/>
      <c r="Z51" s="34"/>
      <c r="AA51" s="34"/>
      <c r="AB51" s="34"/>
      <c r="AC51" s="34"/>
      <c r="AD51" s="50"/>
      <c r="AE51" s="34"/>
      <c r="AF51" s="34"/>
      <c r="AG51" s="34"/>
      <c r="AH51" s="34"/>
      <c r="AI51" s="50"/>
      <c r="AJ51" s="50"/>
      <c r="AK51" s="50"/>
      <c r="AL51" s="50"/>
      <c r="AM51" s="50"/>
      <c r="AN51" s="50"/>
    </row>
    <row r="52" ht="15.75" customHeight="1">
      <c r="A52" s="33">
        <v>49.0</v>
      </c>
      <c r="B52" s="34"/>
      <c r="C52" s="50"/>
      <c r="D52" s="34"/>
      <c r="E52" s="34"/>
      <c r="F52" s="34"/>
      <c r="G52" s="34"/>
      <c r="H52" s="34"/>
      <c r="I52" s="34"/>
      <c r="J52" s="50"/>
      <c r="K52" s="34"/>
      <c r="L52" s="34"/>
      <c r="M52" s="34"/>
      <c r="N52" s="34"/>
      <c r="O52" s="50"/>
      <c r="P52" s="34"/>
      <c r="Q52" s="34"/>
      <c r="R52" s="34"/>
      <c r="S52" s="34"/>
      <c r="T52" s="50"/>
      <c r="U52" s="34"/>
      <c r="V52" s="34"/>
      <c r="W52" s="34"/>
      <c r="X52" s="34"/>
      <c r="Y52" s="50"/>
      <c r="Z52" s="34"/>
      <c r="AA52" s="34"/>
      <c r="AB52" s="34"/>
      <c r="AC52" s="34"/>
      <c r="AD52" s="50"/>
      <c r="AE52" s="34"/>
      <c r="AF52" s="34"/>
      <c r="AG52" s="34"/>
      <c r="AH52" s="34"/>
      <c r="AI52" s="50"/>
      <c r="AJ52" s="50"/>
      <c r="AK52" s="50"/>
      <c r="AL52" s="50"/>
      <c r="AM52" s="50"/>
      <c r="AN52" s="50"/>
    </row>
    <row r="53" ht="15.75" customHeight="1">
      <c r="A53" s="33">
        <v>50.0</v>
      </c>
      <c r="B53" s="34"/>
      <c r="C53" s="50"/>
      <c r="D53" s="34"/>
      <c r="E53" s="34"/>
      <c r="F53" s="34"/>
      <c r="G53" s="34"/>
      <c r="H53" s="34"/>
      <c r="I53" s="34"/>
      <c r="J53" s="50"/>
      <c r="K53" s="34"/>
      <c r="L53" s="34"/>
      <c r="M53" s="34"/>
      <c r="N53" s="34"/>
      <c r="O53" s="50"/>
      <c r="P53" s="34"/>
      <c r="Q53" s="34"/>
      <c r="R53" s="34"/>
      <c r="S53" s="34"/>
      <c r="T53" s="50"/>
      <c r="U53" s="34"/>
      <c r="V53" s="34"/>
      <c r="W53" s="34"/>
      <c r="X53" s="34"/>
      <c r="Y53" s="50"/>
      <c r="Z53" s="34"/>
      <c r="AA53" s="34"/>
      <c r="AB53" s="34"/>
      <c r="AC53" s="34"/>
      <c r="AD53" s="50"/>
      <c r="AE53" s="34"/>
      <c r="AF53" s="34"/>
      <c r="AG53" s="34"/>
      <c r="AH53" s="34"/>
      <c r="AI53" s="50"/>
      <c r="AJ53" s="50"/>
      <c r="AK53" s="50"/>
      <c r="AL53" s="50"/>
      <c r="AM53" s="50"/>
      <c r="AN53" s="50"/>
    </row>
    <row r="54" ht="15.75" customHeight="1">
      <c r="A54" s="33">
        <v>51.0</v>
      </c>
      <c r="B54" s="34"/>
      <c r="C54" s="50"/>
      <c r="D54" s="34"/>
      <c r="E54" s="34"/>
      <c r="F54" s="34"/>
      <c r="G54" s="34"/>
      <c r="H54" s="34"/>
      <c r="I54" s="34"/>
      <c r="J54" s="50"/>
      <c r="K54" s="34"/>
      <c r="L54" s="34"/>
      <c r="M54" s="34"/>
      <c r="N54" s="34"/>
      <c r="O54" s="50"/>
      <c r="P54" s="34"/>
      <c r="Q54" s="34"/>
      <c r="R54" s="34"/>
      <c r="S54" s="34"/>
      <c r="T54" s="50"/>
      <c r="U54" s="34"/>
      <c r="V54" s="34"/>
      <c r="W54" s="34"/>
      <c r="X54" s="34"/>
      <c r="Y54" s="50"/>
      <c r="Z54" s="34"/>
      <c r="AA54" s="34"/>
      <c r="AB54" s="34"/>
      <c r="AC54" s="34"/>
      <c r="AD54" s="50"/>
      <c r="AE54" s="34"/>
      <c r="AF54" s="34"/>
      <c r="AG54" s="34"/>
      <c r="AH54" s="34"/>
      <c r="AI54" s="50"/>
      <c r="AJ54" s="50"/>
      <c r="AK54" s="50"/>
      <c r="AL54" s="50"/>
      <c r="AM54" s="50"/>
      <c r="AN54" s="50"/>
    </row>
    <row r="55" ht="15.75" customHeight="1">
      <c r="A55" s="33">
        <v>52.0</v>
      </c>
      <c r="B55" s="34"/>
      <c r="C55" s="50"/>
      <c r="D55" s="34"/>
      <c r="E55" s="34"/>
      <c r="F55" s="34"/>
      <c r="G55" s="34"/>
      <c r="H55" s="34"/>
      <c r="I55" s="34"/>
      <c r="J55" s="50"/>
      <c r="K55" s="34"/>
      <c r="L55" s="34"/>
      <c r="M55" s="34"/>
      <c r="N55" s="34"/>
      <c r="O55" s="50"/>
      <c r="P55" s="34"/>
      <c r="Q55" s="34"/>
      <c r="R55" s="34"/>
      <c r="S55" s="34"/>
      <c r="T55" s="50"/>
      <c r="U55" s="34"/>
      <c r="V55" s="34"/>
      <c r="W55" s="34"/>
      <c r="X55" s="34"/>
      <c r="Y55" s="50"/>
      <c r="Z55" s="34"/>
      <c r="AA55" s="34"/>
      <c r="AB55" s="34"/>
      <c r="AC55" s="34"/>
      <c r="AD55" s="50"/>
      <c r="AE55" s="34"/>
      <c r="AF55" s="34"/>
      <c r="AG55" s="34"/>
      <c r="AH55" s="34"/>
      <c r="AI55" s="50"/>
      <c r="AJ55" s="50"/>
      <c r="AK55" s="50"/>
      <c r="AL55" s="50"/>
      <c r="AM55" s="50"/>
      <c r="AN55" s="50"/>
    </row>
    <row r="56" ht="15.75" customHeight="1">
      <c r="A56" s="33">
        <v>53.0</v>
      </c>
      <c r="B56" s="34"/>
      <c r="C56" s="50"/>
      <c r="D56" s="34"/>
      <c r="E56" s="34"/>
      <c r="F56" s="34"/>
      <c r="G56" s="34"/>
      <c r="H56" s="34"/>
      <c r="I56" s="34"/>
      <c r="J56" s="50"/>
      <c r="K56" s="34"/>
      <c r="L56" s="34"/>
      <c r="M56" s="34"/>
      <c r="N56" s="34"/>
      <c r="O56" s="50"/>
      <c r="P56" s="34"/>
      <c r="Q56" s="34"/>
      <c r="R56" s="34"/>
      <c r="S56" s="34"/>
      <c r="T56" s="50"/>
      <c r="U56" s="34"/>
      <c r="V56" s="34"/>
      <c r="W56" s="34"/>
      <c r="X56" s="34"/>
      <c r="Y56" s="50"/>
      <c r="Z56" s="34"/>
      <c r="AA56" s="34"/>
      <c r="AB56" s="34"/>
      <c r="AC56" s="34"/>
      <c r="AD56" s="50"/>
      <c r="AE56" s="34"/>
      <c r="AF56" s="34"/>
      <c r="AG56" s="34"/>
      <c r="AH56" s="34"/>
      <c r="AI56" s="50"/>
      <c r="AJ56" s="50"/>
      <c r="AK56" s="50"/>
      <c r="AL56" s="50"/>
      <c r="AM56" s="50"/>
      <c r="AN56" s="50"/>
    </row>
    <row r="57" ht="15.75" customHeight="1">
      <c r="A57" s="33">
        <v>54.0</v>
      </c>
      <c r="B57" s="34"/>
      <c r="C57" s="50"/>
      <c r="D57" s="34"/>
      <c r="E57" s="34"/>
      <c r="F57" s="34"/>
      <c r="G57" s="34"/>
      <c r="H57" s="34"/>
      <c r="I57" s="34"/>
      <c r="J57" s="50"/>
      <c r="K57" s="34"/>
      <c r="L57" s="34"/>
      <c r="M57" s="34"/>
      <c r="N57" s="34"/>
      <c r="O57" s="50"/>
      <c r="P57" s="34"/>
      <c r="Q57" s="34"/>
      <c r="R57" s="34"/>
      <c r="S57" s="34"/>
      <c r="T57" s="50"/>
      <c r="U57" s="34"/>
      <c r="V57" s="34"/>
      <c r="W57" s="34"/>
      <c r="X57" s="34"/>
      <c r="Y57" s="50"/>
      <c r="Z57" s="34"/>
      <c r="AA57" s="34"/>
      <c r="AB57" s="34"/>
      <c r="AC57" s="34"/>
      <c r="AD57" s="50"/>
      <c r="AE57" s="34"/>
      <c r="AF57" s="34"/>
      <c r="AG57" s="34"/>
      <c r="AH57" s="34"/>
      <c r="AI57" s="50"/>
      <c r="AJ57" s="50"/>
      <c r="AK57" s="50"/>
      <c r="AL57" s="50"/>
      <c r="AM57" s="50"/>
      <c r="AN57" s="50"/>
    </row>
    <row r="58" ht="15.75" customHeight="1">
      <c r="A58" s="33">
        <v>55.0</v>
      </c>
      <c r="B58" s="34"/>
      <c r="C58" s="50"/>
      <c r="D58" s="34"/>
      <c r="E58" s="34"/>
      <c r="F58" s="34"/>
      <c r="G58" s="34"/>
      <c r="H58" s="34"/>
      <c r="I58" s="34"/>
      <c r="J58" s="50"/>
      <c r="K58" s="34"/>
      <c r="L58" s="34"/>
      <c r="M58" s="34"/>
      <c r="N58" s="34"/>
      <c r="O58" s="50"/>
      <c r="P58" s="34"/>
      <c r="Q58" s="34"/>
      <c r="R58" s="34"/>
      <c r="S58" s="34"/>
      <c r="T58" s="50"/>
      <c r="U58" s="34"/>
      <c r="V58" s="34"/>
      <c r="W58" s="34"/>
      <c r="X58" s="34"/>
      <c r="Y58" s="50"/>
      <c r="Z58" s="34"/>
      <c r="AA58" s="34"/>
      <c r="AB58" s="34"/>
      <c r="AC58" s="34"/>
      <c r="AD58" s="50"/>
      <c r="AE58" s="34"/>
      <c r="AF58" s="34"/>
      <c r="AG58" s="34"/>
      <c r="AH58" s="34"/>
      <c r="AI58" s="50"/>
      <c r="AJ58" s="50"/>
      <c r="AK58" s="50"/>
      <c r="AL58" s="50"/>
      <c r="AM58" s="50"/>
      <c r="AN58" s="50"/>
    </row>
    <row r="59" ht="15.75" customHeight="1">
      <c r="A59" s="33">
        <v>56.0</v>
      </c>
      <c r="B59" s="34"/>
      <c r="C59" s="50"/>
      <c r="D59" s="34"/>
      <c r="E59" s="34"/>
      <c r="F59" s="34"/>
      <c r="G59" s="34"/>
      <c r="H59" s="34"/>
      <c r="I59" s="34"/>
      <c r="J59" s="50"/>
      <c r="K59" s="34"/>
      <c r="L59" s="34"/>
      <c r="M59" s="34"/>
      <c r="N59" s="34"/>
      <c r="O59" s="50"/>
      <c r="P59" s="34"/>
      <c r="Q59" s="34"/>
      <c r="R59" s="34"/>
      <c r="S59" s="34"/>
      <c r="T59" s="50"/>
      <c r="U59" s="34"/>
      <c r="V59" s="34"/>
      <c r="W59" s="34"/>
      <c r="X59" s="34"/>
      <c r="Y59" s="50"/>
      <c r="Z59" s="34"/>
      <c r="AA59" s="34"/>
      <c r="AB59" s="34"/>
      <c r="AC59" s="34"/>
      <c r="AD59" s="50"/>
      <c r="AE59" s="34"/>
      <c r="AF59" s="34"/>
      <c r="AG59" s="34"/>
      <c r="AH59" s="34"/>
      <c r="AI59" s="50"/>
      <c r="AJ59" s="50"/>
      <c r="AK59" s="50"/>
      <c r="AL59" s="50"/>
      <c r="AM59" s="50"/>
      <c r="AN59" s="50"/>
    </row>
    <row r="60" ht="15.75" customHeight="1">
      <c r="A60" s="33">
        <v>57.0</v>
      </c>
      <c r="B60" s="34"/>
      <c r="C60" s="50"/>
      <c r="D60" s="34"/>
      <c r="E60" s="34"/>
      <c r="F60" s="34"/>
      <c r="G60" s="34"/>
      <c r="H60" s="34"/>
      <c r="I60" s="34"/>
      <c r="J60" s="50"/>
      <c r="K60" s="34"/>
      <c r="L60" s="34"/>
      <c r="M60" s="34"/>
      <c r="N60" s="34"/>
      <c r="O60" s="50"/>
      <c r="P60" s="34"/>
      <c r="Q60" s="34"/>
      <c r="R60" s="34"/>
      <c r="S60" s="34"/>
      <c r="T60" s="50"/>
      <c r="U60" s="34"/>
      <c r="V60" s="34"/>
      <c r="W60" s="34"/>
      <c r="X60" s="34"/>
      <c r="Y60" s="50"/>
      <c r="Z60" s="34"/>
      <c r="AA60" s="34"/>
      <c r="AB60" s="34"/>
      <c r="AC60" s="34"/>
      <c r="AD60" s="50"/>
      <c r="AE60" s="34"/>
      <c r="AF60" s="34"/>
      <c r="AG60" s="34"/>
      <c r="AH60" s="34"/>
      <c r="AI60" s="50"/>
      <c r="AJ60" s="50"/>
      <c r="AK60" s="50"/>
      <c r="AL60" s="50"/>
      <c r="AM60" s="50"/>
      <c r="AN60" s="50"/>
    </row>
    <row r="61" ht="15.75" customHeight="1">
      <c r="A61" s="33">
        <v>58.0</v>
      </c>
      <c r="B61" s="34"/>
      <c r="C61" s="50"/>
      <c r="D61" s="34"/>
      <c r="E61" s="34"/>
      <c r="F61" s="34"/>
      <c r="G61" s="34"/>
      <c r="H61" s="34"/>
      <c r="I61" s="34"/>
      <c r="J61" s="50"/>
      <c r="K61" s="34"/>
      <c r="L61" s="34"/>
      <c r="M61" s="34"/>
      <c r="N61" s="34"/>
      <c r="O61" s="50"/>
      <c r="P61" s="34"/>
      <c r="Q61" s="34"/>
      <c r="R61" s="34"/>
      <c r="S61" s="34"/>
      <c r="T61" s="50"/>
      <c r="U61" s="34"/>
      <c r="V61" s="34"/>
      <c r="W61" s="34"/>
      <c r="X61" s="34"/>
      <c r="Y61" s="50"/>
      <c r="Z61" s="34"/>
      <c r="AA61" s="34"/>
      <c r="AB61" s="34"/>
      <c r="AC61" s="34"/>
      <c r="AD61" s="50"/>
      <c r="AE61" s="34"/>
      <c r="AF61" s="34"/>
      <c r="AG61" s="34"/>
      <c r="AH61" s="34"/>
      <c r="AI61" s="50"/>
      <c r="AJ61" s="50"/>
      <c r="AK61" s="50"/>
      <c r="AL61" s="50"/>
      <c r="AM61" s="50"/>
      <c r="AN61" s="50"/>
    </row>
    <row r="62" ht="15.75" customHeight="1">
      <c r="A62" s="33">
        <v>59.0</v>
      </c>
      <c r="B62" s="34"/>
      <c r="C62" s="50"/>
      <c r="D62" s="34"/>
      <c r="E62" s="34"/>
      <c r="F62" s="34"/>
      <c r="G62" s="34"/>
      <c r="H62" s="34"/>
      <c r="I62" s="34"/>
      <c r="J62" s="50"/>
      <c r="K62" s="34"/>
      <c r="L62" s="34"/>
      <c r="M62" s="34"/>
      <c r="N62" s="34"/>
      <c r="O62" s="50"/>
      <c r="P62" s="34"/>
      <c r="Q62" s="34"/>
      <c r="R62" s="34"/>
      <c r="S62" s="34"/>
      <c r="T62" s="50"/>
      <c r="U62" s="34"/>
      <c r="V62" s="34"/>
      <c r="W62" s="34"/>
      <c r="X62" s="34"/>
      <c r="Y62" s="50"/>
      <c r="Z62" s="34"/>
      <c r="AA62" s="34"/>
      <c r="AB62" s="34"/>
      <c r="AC62" s="34"/>
      <c r="AD62" s="50"/>
      <c r="AE62" s="34"/>
      <c r="AF62" s="34"/>
      <c r="AG62" s="34"/>
      <c r="AH62" s="34"/>
      <c r="AI62" s="50"/>
      <c r="AJ62" s="50"/>
      <c r="AK62" s="50"/>
      <c r="AL62" s="50"/>
      <c r="AM62" s="50"/>
      <c r="AN62" s="50"/>
    </row>
    <row r="63" ht="15.75" customHeight="1">
      <c r="A63" s="33">
        <v>60.0</v>
      </c>
      <c r="B63" s="34"/>
      <c r="C63" s="50"/>
      <c r="D63" s="34"/>
      <c r="E63" s="34"/>
      <c r="F63" s="34"/>
      <c r="G63" s="34"/>
      <c r="H63" s="34"/>
      <c r="I63" s="34"/>
      <c r="J63" s="50"/>
      <c r="K63" s="34"/>
      <c r="L63" s="34"/>
      <c r="M63" s="34"/>
      <c r="N63" s="34"/>
      <c r="O63" s="50"/>
      <c r="P63" s="34"/>
      <c r="Q63" s="34"/>
      <c r="R63" s="34"/>
      <c r="S63" s="34"/>
      <c r="T63" s="50"/>
      <c r="U63" s="34"/>
      <c r="V63" s="34"/>
      <c r="W63" s="34"/>
      <c r="X63" s="34"/>
      <c r="Y63" s="50"/>
      <c r="Z63" s="34"/>
      <c r="AA63" s="34"/>
      <c r="AB63" s="34"/>
      <c r="AC63" s="34"/>
      <c r="AD63" s="50"/>
      <c r="AE63" s="34"/>
      <c r="AF63" s="34"/>
      <c r="AG63" s="34"/>
      <c r="AH63" s="34"/>
      <c r="AI63" s="50"/>
      <c r="AJ63" s="50"/>
      <c r="AK63" s="50"/>
      <c r="AL63" s="50"/>
      <c r="AM63" s="50"/>
      <c r="AN63" s="50"/>
    </row>
    <row r="64" ht="15.75" customHeight="1">
      <c r="A64" s="33">
        <v>61.0</v>
      </c>
      <c r="B64" s="34"/>
      <c r="C64" s="50"/>
      <c r="D64" s="34"/>
      <c r="E64" s="34"/>
      <c r="F64" s="34"/>
      <c r="G64" s="34"/>
      <c r="H64" s="34"/>
      <c r="I64" s="34"/>
      <c r="J64" s="50"/>
      <c r="K64" s="34"/>
      <c r="L64" s="34"/>
      <c r="M64" s="34"/>
      <c r="N64" s="34"/>
      <c r="O64" s="50"/>
      <c r="P64" s="34"/>
      <c r="Q64" s="34"/>
      <c r="R64" s="34"/>
      <c r="S64" s="34"/>
      <c r="T64" s="50"/>
      <c r="U64" s="34"/>
      <c r="V64" s="34"/>
      <c r="W64" s="34"/>
      <c r="X64" s="34"/>
      <c r="Y64" s="50"/>
      <c r="Z64" s="34"/>
      <c r="AA64" s="34"/>
      <c r="AB64" s="34"/>
      <c r="AC64" s="34"/>
      <c r="AD64" s="50"/>
      <c r="AE64" s="34"/>
      <c r="AF64" s="34"/>
      <c r="AG64" s="34"/>
      <c r="AH64" s="34"/>
      <c r="AI64" s="50"/>
      <c r="AJ64" s="50"/>
      <c r="AK64" s="50"/>
      <c r="AL64" s="50"/>
      <c r="AM64" s="50"/>
      <c r="AN64" s="50"/>
    </row>
    <row r="65" ht="15.75" customHeight="1">
      <c r="A65" s="33">
        <v>62.0</v>
      </c>
      <c r="B65" s="34"/>
      <c r="C65" s="50"/>
      <c r="D65" s="34"/>
      <c r="E65" s="34"/>
      <c r="F65" s="34"/>
      <c r="G65" s="34"/>
      <c r="H65" s="34"/>
      <c r="I65" s="34"/>
      <c r="J65" s="50"/>
      <c r="K65" s="34"/>
      <c r="L65" s="34"/>
      <c r="M65" s="34"/>
      <c r="N65" s="34"/>
      <c r="O65" s="50"/>
      <c r="P65" s="34"/>
      <c r="Q65" s="34"/>
      <c r="R65" s="34"/>
      <c r="S65" s="34"/>
      <c r="T65" s="50"/>
      <c r="U65" s="34"/>
      <c r="V65" s="34"/>
      <c r="W65" s="34"/>
      <c r="X65" s="34"/>
      <c r="Y65" s="50"/>
      <c r="Z65" s="34"/>
      <c r="AA65" s="34"/>
      <c r="AB65" s="34"/>
      <c r="AC65" s="34"/>
      <c r="AD65" s="50"/>
      <c r="AE65" s="34"/>
      <c r="AF65" s="34"/>
      <c r="AG65" s="34"/>
      <c r="AH65" s="34"/>
      <c r="AI65" s="50"/>
      <c r="AJ65" s="50"/>
      <c r="AK65" s="50"/>
      <c r="AL65" s="50"/>
      <c r="AM65" s="50"/>
      <c r="AN65" s="50"/>
    </row>
    <row r="66" ht="15.75" customHeight="1">
      <c r="A66" s="33">
        <v>63.0</v>
      </c>
      <c r="B66" s="34"/>
      <c r="C66" s="50"/>
      <c r="D66" s="34"/>
      <c r="E66" s="34"/>
      <c r="F66" s="34"/>
      <c r="G66" s="34"/>
      <c r="H66" s="34"/>
      <c r="I66" s="34"/>
      <c r="J66" s="50"/>
      <c r="K66" s="34"/>
      <c r="L66" s="34"/>
      <c r="M66" s="34"/>
      <c r="N66" s="34"/>
      <c r="O66" s="50"/>
      <c r="P66" s="34"/>
      <c r="Q66" s="34"/>
      <c r="R66" s="34"/>
      <c r="S66" s="34"/>
      <c r="T66" s="50"/>
      <c r="U66" s="34"/>
      <c r="V66" s="34"/>
      <c r="W66" s="34"/>
      <c r="X66" s="34"/>
      <c r="Y66" s="50"/>
      <c r="Z66" s="34"/>
      <c r="AA66" s="34"/>
      <c r="AB66" s="34"/>
      <c r="AC66" s="34"/>
      <c r="AD66" s="50"/>
      <c r="AE66" s="34"/>
      <c r="AF66" s="34"/>
      <c r="AG66" s="34"/>
      <c r="AH66" s="34"/>
      <c r="AI66" s="50"/>
      <c r="AJ66" s="50"/>
      <c r="AK66" s="50"/>
      <c r="AL66" s="50"/>
      <c r="AM66" s="50"/>
      <c r="AN66" s="50"/>
    </row>
    <row r="67" ht="15.75" customHeight="1">
      <c r="A67" s="33">
        <v>64.0</v>
      </c>
      <c r="B67" s="34"/>
      <c r="C67" s="50"/>
      <c r="D67" s="34"/>
      <c r="E67" s="34"/>
      <c r="F67" s="34"/>
      <c r="G67" s="34"/>
      <c r="H67" s="34"/>
      <c r="I67" s="34"/>
      <c r="J67" s="50"/>
      <c r="K67" s="34"/>
      <c r="L67" s="34"/>
      <c r="M67" s="34"/>
      <c r="N67" s="34"/>
      <c r="O67" s="50"/>
      <c r="P67" s="34"/>
      <c r="Q67" s="34"/>
      <c r="R67" s="34"/>
      <c r="S67" s="34"/>
      <c r="T67" s="50"/>
      <c r="U67" s="34"/>
      <c r="V67" s="34"/>
      <c r="W67" s="34"/>
      <c r="X67" s="34"/>
      <c r="Y67" s="50"/>
      <c r="Z67" s="34"/>
      <c r="AA67" s="34"/>
      <c r="AB67" s="34"/>
      <c r="AC67" s="34"/>
      <c r="AD67" s="50"/>
      <c r="AE67" s="34"/>
      <c r="AF67" s="34"/>
      <c r="AG67" s="34"/>
      <c r="AH67" s="34"/>
      <c r="AI67" s="50"/>
      <c r="AJ67" s="50"/>
      <c r="AK67" s="50"/>
      <c r="AL67" s="50"/>
      <c r="AM67" s="50"/>
      <c r="AN67" s="50"/>
    </row>
    <row r="68" ht="15.75" customHeight="1">
      <c r="A68" s="33">
        <v>65.0</v>
      </c>
      <c r="B68" s="34"/>
      <c r="C68" s="50"/>
      <c r="D68" s="34"/>
      <c r="E68" s="34"/>
      <c r="F68" s="34"/>
      <c r="G68" s="34"/>
      <c r="H68" s="34"/>
      <c r="I68" s="34"/>
      <c r="J68" s="50"/>
      <c r="K68" s="34"/>
      <c r="L68" s="34"/>
      <c r="M68" s="34"/>
      <c r="N68" s="34"/>
      <c r="O68" s="50"/>
      <c r="P68" s="34"/>
      <c r="Q68" s="34"/>
      <c r="R68" s="34"/>
      <c r="S68" s="34"/>
      <c r="T68" s="50"/>
      <c r="U68" s="34"/>
      <c r="V68" s="34"/>
      <c r="W68" s="34"/>
      <c r="X68" s="34"/>
      <c r="Y68" s="50"/>
      <c r="Z68" s="34"/>
      <c r="AA68" s="34"/>
      <c r="AB68" s="34"/>
      <c r="AC68" s="34"/>
      <c r="AD68" s="50"/>
      <c r="AE68" s="34"/>
      <c r="AF68" s="34"/>
      <c r="AG68" s="34"/>
      <c r="AH68" s="34"/>
      <c r="AI68" s="50"/>
      <c r="AJ68" s="50"/>
      <c r="AK68" s="50"/>
      <c r="AL68" s="50"/>
      <c r="AM68" s="50"/>
      <c r="AN68" s="50"/>
    </row>
    <row r="69" ht="15.75" customHeight="1">
      <c r="A69" s="33">
        <v>66.0</v>
      </c>
      <c r="B69" s="34"/>
      <c r="C69" s="50"/>
      <c r="D69" s="34"/>
      <c r="E69" s="34"/>
      <c r="F69" s="34"/>
      <c r="G69" s="34"/>
      <c r="H69" s="34"/>
      <c r="I69" s="34"/>
      <c r="J69" s="50"/>
      <c r="K69" s="34"/>
      <c r="L69" s="34"/>
      <c r="M69" s="34"/>
      <c r="N69" s="34"/>
      <c r="O69" s="50"/>
      <c r="P69" s="34"/>
      <c r="Q69" s="34"/>
      <c r="R69" s="34"/>
      <c r="S69" s="34"/>
      <c r="T69" s="50"/>
      <c r="U69" s="34"/>
      <c r="V69" s="34"/>
      <c r="W69" s="34"/>
      <c r="X69" s="34"/>
      <c r="Y69" s="50"/>
      <c r="Z69" s="34"/>
      <c r="AA69" s="34"/>
      <c r="AB69" s="34"/>
      <c r="AC69" s="34"/>
      <c r="AD69" s="50"/>
      <c r="AE69" s="34"/>
      <c r="AF69" s="34"/>
      <c r="AG69" s="34"/>
      <c r="AH69" s="34"/>
      <c r="AI69" s="50"/>
      <c r="AJ69" s="50"/>
      <c r="AK69" s="50"/>
      <c r="AL69" s="50"/>
      <c r="AM69" s="50"/>
      <c r="AN69" s="50"/>
    </row>
    <row r="70" ht="15.75" customHeight="1">
      <c r="A70" s="33">
        <v>67.0</v>
      </c>
      <c r="B70" s="34"/>
      <c r="C70" s="50"/>
      <c r="D70" s="34"/>
      <c r="E70" s="34"/>
      <c r="F70" s="34"/>
      <c r="G70" s="34"/>
      <c r="H70" s="34"/>
      <c r="I70" s="34"/>
      <c r="J70" s="50"/>
      <c r="K70" s="34"/>
      <c r="L70" s="34"/>
      <c r="M70" s="34"/>
      <c r="N70" s="34"/>
      <c r="O70" s="50"/>
      <c r="P70" s="34"/>
      <c r="Q70" s="34"/>
      <c r="R70" s="34"/>
      <c r="S70" s="34"/>
      <c r="T70" s="50"/>
      <c r="U70" s="34"/>
      <c r="V70" s="34"/>
      <c r="W70" s="34"/>
      <c r="X70" s="34"/>
      <c r="Y70" s="50"/>
      <c r="Z70" s="34"/>
      <c r="AA70" s="34"/>
      <c r="AB70" s="34"/>
      <c r="AC70" s="34"/>
      <c r="AD70" s="50"/>
      <c r="AE70" s="34"/>
      <c r="AF70" s="34"/>
      <c r="AG70" s="34"/>
      <c r="AH70" s="34"/>
      <c r="AI70" s="50"/>
      <c r="AJ70" s="50"/>
      <c r="AK70" s="50"/>
      <c r="AL70" s="50"/>
      <c r="AM70" s="50"/>
      <c r="AN70" s="50"/>
    </row>
    <row r="71" ht="15.75" customHeight="1">
      <c r="A71" s="33">
        <v>68.0</v>
      </c>
      <c r="B71" s="34"/>
      <c r="C71" s="50"/>
      <c r="D71" s="34"/>
      <c r="E71" s="34"/>
      <c r="F71" s="34"/>
      <c r="G71" s="34"/>
      <c r="H71" s="34"/>
      <c r="I71" s="34"/>
      <c r="J71" s="50"/>
      <c r="K71" s="34"/>
      <c r="L71" s="34"/>
      <c r="M71" s="34"/>
      <c r="N71" s="34"/>
      <c r="O71" s="50"/>
      <c r="P71" s="34"/>
      <c r="Q71" s="34"/>
      <c r="R71" s="34"/>
      <c r="S71" s="34"/>
      <c r="T71" s="50"/>
      <c r="U71" s="34"/>
      <c r="V71" s="34"/>
      <c r="W71" s="34"/>
      <c r="X71" s="34"/>
      <c r="Y71" s="50"/>
      <c r="Z71" s="34"/>
      <c r="AA71" s="34"/>
      <c r="AB71" s="34"/>
      <c r="AC71" s="34"/>
      <c r="AD71" s="50"/>
      <c r="AE71" s="34"/>
      <c r="AF71" s="34"/>
      <c r="AG71" s="34"/>
      <c r="AH71" s="34"/>
      <c r="AI71" s="50"/>
      <c r="AJ71" s="50"/>
      <c r="AK71" s="50"/>
      <c r="AL71" s="50"/>
      <c r="AM71" s="50"/>
      <c r="AN71" s="50"/>
    </row>
    <row r="72" ht="15.75" customHeight="1">
      <c r="A72" s="33">
        <v>69.0</v>
      </c>
      <c r="B72" s="34"/>
      <c r="C72" s="50"/>
      <c r="D72" s="34"/>
      <c r="E72" s="34"/>
      <c r="F72" s="34"/>
      <c r="G72" s="34"/>
      <c r="H72" s="34"/>
      <c r="I72" s="34"/>
      <c r="J72" s="50"/>
      <c r="K72" s="34"/>
      <c r="L72" s="34"/>
      <c r="M72" s="34"/>
      <c r="N72" s="34"/>
      <c r="O72" s="50"/>
      <c r="P72" s="34"/>
      <c r="Q72" s="34"/>
      <c r="R72" s="34"/>
      <c r="S72" s="34"/>
      <c r="T72" s="50"/>
      <c r="U72" s="34"/>
      <c r="V72" s="34"/>
      <c r="W72" s="34"/>
      <c r="X72" s="34"/>
      <c r="Y72" s="50"/>
      <c r="Z72" s="34"/>
      <c r="AA72" s="34"/>
      <c r="AB72" s="34"/>
      <c r="AC72" s="34"/>
      <c r="AD72" s="50"/>
      <c r="AE72" s="34"/>
      <c r="AF72" s="34"/>
      <c r="AG72" s="34"/>
      <c r="AH72" s="34"/>
      <c r="AI72" s="50"/>
      <c r="AJ72" s="50"/>
      <c r="AK72" s="50"/>
      <c r="AL72" s="50"/>
      <c r="AM72" s="50"/>
      <c r="AN72" s="50"/>
    </row>
    <row r="73" ht="15.75" customHeight="1">
      <c r="A73" s="33">
        <v>70.0</v>
      </c>
      <c r="B73" s="34"/>
      <c r="C73" s="50"/>
      <c r="D73" s="34"/>
      <c r="E73" s="34"/>
      <c r="F73" s="34"/>
      <c r="G73" s="34"/>
      <c r="H73" s="34"/>
      <c r="I73" s="34"/>
      <c r="J73" s="50"/>
      <c r="K73" s="34"/>
      <c r="L73" s="34"/>
      <c r="M73" s="34"/>
      <c r="N73" s="34"/>
      <c r="O73" s="50"/>
      <c r="P73" s="34"/>
      <c r="Q73" s="34"/>
      <c r="R73" s="34"/>
      <c r="S73" s="34"/>
      <c r="T73" s="50"/>
      <c r="U73" s="34"/>
      <c r="V73" s="34"/>
      <c r="W73" s="34"/>
      <c r="X73" s="34"/>
      <c r="Y73" s="50"/>
      <c r="Z73" s="34"/>
      <c r="AA73" s="34"/>
      <c r="AB73" s="34"/>
      <c r="AC73" s="34"/>
      <c r="AD73" s="50"/>
      <c r="AE73" s="34"/>
      <c r="AF73" s="34"/>
      <c r="AG73" s="34"/>
      <c r="AH73" s="34"/>
      <c r="AI73" s="50"/>
      <c r="AJ73" s="50"/>
      <c r="AK73" s="50"/>
      <c r="AL73" s="50"/>
      <c r="AM73" s="50"/>
      <c r="AN73" s="50"/>
    </row>
    <row r="74" ht="15.75" customHeight="1">
      <c r="A74" s="33">
        <v>71.0</v>
      </c>
      <c r="B74" s="34"/>
      <c r="C74" s="50"/>
      <c r="D74" s="34"/>
      <c r="E74" s="34"/>
      <c r="F74" s="34"/>
      <c r="G74" s="34"/>
      <c r="H74" s="34"/>
      <c r="I74" s="34"/>
      <c r="J74" s="50"/>
      <c r="K74" s="34"/>
      <c r="L74" s="34"/>
      <c r="M74" s="34"/>
      <c r="N74" s="34"/>
      <c r="O74" s="50"/>
      <c r="P74" s="34"/>
      <c r="Q74" s="34"/>
      <c r="R74" s="34"/>
      <c r="S74" s="34"/>
      <c r="T74" s="50"/>
      <c r="U74" s="34"/>
      <c r="V74" s="34"/>
      <c r="W74" s="34"/>
      <c r="X74" s="34"/>
      <c r="Y74" s="50"/>
      <c r="Z74" s="34"/>
      <c r="AA74" s="34"/>
      <c r="AB74" s="34"/>
      <c r="AC74" s="34"/>
      <c r="AD74" s="50"/>
      <c r="AE74" s="34"/>
      <c r="AF74" s="34"/>
      <c r="AG74" s="34"/>
      <c r="AH74" s="34"/>
      <c r="AI74" s="50"/>
      <c r="AJ74" s="50"/>
      <c r="AK74" s="50"/>
      <c r="AL74" s="50"/>
      <c r="AM74" s="50"/>
      <c r="AN74" s="50"/>
    </row>
    <row r="75" ht="15.75" customHeight="1">
      <c r="A75" s="33">
        <v>72.0</v>
      </c>
      <c r="B75" s="34"/>
      <c r="C75" s="50"/>
      <c r="D75" s="34"/>
      <c r="E75" s="34"/>
      <c r="F75" s="34"/>
      <c r="G75" s="34"/>
      <c r="H75" s="34"/>
      <c r="I75" s="34"/>
      <c r="J75" s="50"/>
      <c r="K75" s="34"/>
      <c r="L75" s="34"/>
      <c r="M75" s="34"/>
      <c r="N75" s="34"/>
      <c r="O75" s="50"/>
      <c r="P75" s="34"/>
      <c r="Q75" s="34"/>
      <c r="R75" s="34"/>
      <c r="S75" s="34"/>
      <c r="T75" s="50"/>
      <c r="U75" s="34"/>
      <c r="V75" s="34"/>
      <c r="W75" s="34"/>
      <c r="X75" s="34"/>
      <c r="Y75" s="50"/>
      <c r="Z75" s="34"/>
      <c r="AA75" s="34"/>
      <c r="AB75" s="34"/>
      <c r="AC75" s="34"/>
      <c r="AD75" s="50"/>
      <c r="AE75" s="34"/>
      <c r="AF75" s="34"/>
      <c r="AG75" s="34"/>
      <c r="AH75" s="34"/>
      <c r="AI75" s="50"/>
      <c r="AJ75" s="50"/>
      <c r="AK75" s="50"/>
      <c r="AL75" s="50"/>
      <c r="AM75" s="50"/>
      <c r="AN75" s="50"/>
    </row>
    <row r="76" ht="15.75" customHeight="1">
      <c r="A76" s="33">
        <v>73.0</v>
      </c>
      <c r="B76" s="34"/>
      <c r="C76" s="50"/>
      <c r="D76" s="34"/>
      <c r="E76" s="34"/>
      <c r="F76" s="34"/>
      <c r="G76" s="34"/>
      <c r="H76" s="34"/>
      <c r="I76" s="34"/>
      <c r="J76" s="50"/>
      <c r="K76" s="34"/>
      <c r="L76" s="34"/>
      <c r="M76" s="34"/>
      <c r="N76" s="34"/>
      <c r="O76" s="50"/>
      <c r="P76" s="34"/>
      <c r="Q76" s="34"/>
      <c r="R76" s="34"/>
      <c r="S76" s="34"/>
      <c r="T76" s="50"/>
      <c r="U76" s="34"/>
      <c r="V76" s="34"/>
      <c r="W76" s="34"/>
      <c r="X76" s="34"/>
      <c r="Y76" s="50"/>
      <c r="Z76" s="34"/>
      <c r="AA76" s="34"/>
      <c r="AB76" s="34"/>
      <c r="AC76" s="34"/>
      <c r="AD76" s="50"/>
      <c r="AE76" s="34"/>
      <c r="AF76" s="34"/>
      <c r="AG76" s="34"/>
      <c r="AH76" s="34"/>
      <c r="AI76" s="50"/>
      <c r="AJ76" s="50"/>
      <c r="AK76" s="50"/>
      <c r="AL76" s="50"/>
      <c r="AM76" s="50"/>
      <c r="AN76" s="50"/>
    </row>
    <row r="77" ht="15.75" customHeight="1">
      <c r="A77" s="33">
        <v>74.0</v>
      </c>
      <c r="B77" s="34"/>
      <c r="C77" s="50"/>
      <c r="D77" s="34"/>
      <c r="E77" s="34"/>
      <c r="F77" s="34"/>
      <c r="G77" s="34"/>
      <c r="H77" s="34"/>
      <c r="I77" s="34"/>
      <c r="J77" s="50"/>
      <c r="K77" s="34"/>
      <c r="L77" s="34"/>
      <c r="M77" s="34"/>
      <c r="N77" s="34"/>
      <c r="O77" s="50"/>
      <c r="P77" s="34"/>
      <c r="Q77" s="34"/>
      <c r="R77" s="34"/>
      <c r="S77" s="34"/>
      <c r="T77" s="50"/>
      <c r="U77" s="34"/>
      <c r="V77" s="34"/>
      <c r="W77" s="34"/>
      <c r="X77" s="34"/>
      <c r="Y77" s="50"/>
      <c r="Z77" s="34"/>
      <c r="AA77" s="34"/>
      <c r="AB77" s="34"/>
      <c r="AC77" s="34"/>
      <c r="AD77" s="50"/>
      <c r="AE77" s="34"/>
      <c r="AF77" s="34"/>
      <c r="AG77" s="34"/>
      <c r="AH77" s="34"/>
      <c r="AI77" s="50"/>
      <c r="AJ77" s="50"/>
      <c r="AK77" s="50"/>
      <c r="AL77" s="50"/>
      <c r="AM77" s="50"/>
      <c r="AN77" s="50"/>
    </row>
    <row r="78" ht="15.75" customHeight="1">
      <c r="A78" s="33">
        <v>75.0</v>
      </c>
      <c r="B78" s="34"/>
      <c r="C78" s="50"/>
      <c r="D78" s="34"/>
      <c r="E78" s="34"/>
      <c r="F78" s="34"/>
      <c r="G78" s="34"/>
      <c r="H78" s="34"/>
      <c r="I78" s="34"/>
      <c r="J78" s="50"/>
      <c r="K78" s="34"/>
      <c r="L78" s="34"/>
      <c r="M78" s="34"/>
      <c r="N78" s="34"/>
      <c r="O78" s="50"/>
      <c r="P78" s="34"/>
      <c r="Q78" s="34"/>
      <c r="R78" s="34"/>
      <c r="S78" s="34"/>
      <c r="T78" s="50"/>
      <c r="U78" s="34"/>
      <c r="V78" s="34"/>
      <c r="W78" s="34"/>
      <c r="X78" s="34"/>
      <c r="Y78" s="50"/>
      <c r="Z78" s="34"/>
      <c r="AA78" s="34"/>
      <c r="AB78" s="34"/>
      <c r="AC78" s="34"/>
      <c r="AD78" s="50"/>
      <c r="AE78" s="34"/>
      <c r="AF78" s="34"/>
      <c r="AG78" s="34"/>
      <c r="AH78" s="34"/>
      <c r="AI78" s="50"/>
      <c r="AJ78" s="50"/>
      <c r="AK78" s="50"/>
      <c r="AL78" s="50"/>
      <c r="AM78" s="50"/>
      <c r="AN78" s="50"/>
    </row>
    <row r="79" ht="15.75" customHeight="1">
      <c r="A79" s="33">
        <v>76.0</v>
      </c>
      <c r="B79" s="34"/>
      <c r="C79" s="50"/>
      <c r="D79" s="34"/>
      <c r="E79" s="34"/>
      <c r="F79" s="34"/>
      <c r="G79" s="34"/>
      <c r="H79" s="34"/>
      <c r="I79" s="34"/>
      <c r="J79" s="50"/>
      <c r="K79" s="34"/>
      <c r="L79" s="34"/>
      <c r="M79" s="34"/>
      <c r="N79" s="34"/>
      <c r="O79" s="50"/>
      <c r="P79" s="34"/>
      <c r="Q79" s="34"/>
      <c r="R79" s="34"/>
      <c r="S79" s="34"/>
      <c r="T79" s="50"/>
      <c r="U79" s="34"/>
      <c r="V79" s="34"/>
      <c r="W79" s="34"/>
      <c r="X79" s="34"/>
      <c r="Y79" s="50"/>
      <c r="Z79" s="34"/>
      <c r="AA79" s="34"/>
      <c r="AB79" s="34"/>
      <c r="AC79" s="34"/>
      <c r="AD79" s="50"/>
      <c r="AE79" s="34"/>
      <c r="AF79" s="34"/>
      <c r="AG79" s="34"/>
      <c r="AH79" s="34"/>
      <c r="AI79" s="50"/>
      <c r="AJ79" s="50"/>
      <c r="AK79" s="50"/>
      <c r="AL79" s="50"/>
      <c r="AM79" s="50"/>
      <c r="AN79" s="50"/>
    </row>
    <row r="80" ht="15.75" customHeight="1">
      <c r="A80" s="33">
        <v>77.0</v>
      </c>
      <c r="B80" s="34"/>
      <c r="C80" s="50"/>
      <c r="D80" s="34"/>
      <c r="E80" s="34"/>
      <c r="F80" s="34"/>
      <c r="G80" s="34"/>
      <c r="H80" s="34"/>
      <c r="I80" s="34"/>
      <c r="J80" s="50"/>
      <c r="K80" s="34"/>
      <c r="L80" s="34"/>
      <c r="M80" s="34"/>
      <c r="N80" s="34"/>
      <c r="O80" s="50"/>
      <c r="P80" s="34"/>
      <c r="Q80" s="34"/>
      <c r="R80" s="34"/>
      <c r="S80" s="34"/>
      <c r="T80" s="50"/>
      <c r="U80" s="34"/>
      <c r="V80" s="34"/>
      <c r="W80" s="34"/>
      <c r="X80" s="34"/>
      <c r="Y80" s="50"/>
      <c r="Z80" s="34"/>
      <c r="AA80" s="34"/>
      <c r="AB80" s="34"/>
      <c r="AC80" s="34"/>
      <c r="AD80" s="50"/>
      <c r="AE80" s="34"/>
      <c r="AF80" s="34"/>
      <c r="AG80" s="34"/>
      <c r="AH80" s="34"/>
      <c r="AI80" s="50"/>
      <c r="AJ80" s="50"/>
      <c r="AK80" s="50"/>
      <c r="AL80" s="50"/>
      <c r="AM80" s="50"/>
      <c r="AN80" s="50"/>
    </row>
    <row r="81" ht="15.75" customHeight="1">
      <c r="A81" s="33">
        <v>78.0</v>
      </c>
      <c r="B81" s="34"/>
      <c r="C81" s="50"/>
      <c r="D81" s="34"/>
      <c r="E81" s="34"/>
      <c r="F81" s="34"/>
      <c r="G81" s="34"/>
      <c r="H81" s="34"/>
      <c r="I81" s="34"/>
      <c r="J81" s="50"/>
      <c r="K81" s="34"/>
      <c r="L81" s="34"/>
      <c r="M81" s="34"/>
      <c r="N81" s="34"/>
      <c r="O81" s="50"/>
      <c r="P81" s="34"/>
      <c r="Q81" s="34"/>
      <c r="R81" s="34"/>
      <c r="S81" s="34"/>
      <c r="T81" s="50"/>
      <c r="U81" s="34"/>
      <c r="V81" s="34"/>
      <c r="W81" s="34"/>
      <c r="X81" s="34"/>
      <c r="Y81" s="50"/>
      <c r="Z81" s="34"/>
      <c r="AA81" s="34"/>
      <c r="AB81" s="34"/>
      <c r="AC81" s="34"/>
      <c r="AD81" s="50"/>
      <c r="AE81" s="34"/>
      <c r="AF81" s="34"/>
      <c r="AG81" s="34"/>
      <c r="AH81" s="34"/>
      <c r="AI81" s="50"/>
      <c r="AJ81" s="50"/>
      <c r="AK81" s="50"/>
      <c r="AL81" s="50"/>
      <c r="AM81" s="50"/>
      <c r="AN81" s="50"/>
    </row>
    <row r="82" ht="15.75" customHeight="1">
      <c r="A82" s="33">
        <v>79.0</v>
      </c>
      <c r="B82" s="34"/>
      <c r="C82" s="50"/>
      <c r="D82" s="34"/>
      <c r="E82" s="34"/>
      <c r="F82" s="34"/>
      <c r="G82" s="34"/>
      <c r="H82" s="34"/>
      <c r="I82" s="34"/>
      <c r="J82" s="50"/>
      <c r="K82" s="34"/>
      <c r="L82" s="34"/>
      <c r="M82" s="34"/>
      <c r="N82" s="34"/>
      <c r="O82" s="50"/>
      <c r="P82" s="34"/>
      <c r="Q82" s="34"/>
      <c r="R82" s="34"/>
      <c r="S82" s="34"/>
      <c r="T82" s="50"/>
      <c r="U82" s="34"/>
      <c r="V82" s="34"/>
      <c r="W82" s="34"/>
      <c r="X82" s="34"/>
      <c r="Y82" s="50"/>
      <c r="Z82" s="34"/>
      <c r="AA82" s="34"/>
      <c r="AB82" s="34"/>
      <c r="AC82" s="34"/>
      <c r="AD82" s="50"/>
      <c r="AE82" s="34"/>
      <c r="AF82" s="34"/>
      <c r="AG82" s="34"/>
      <c r="AH82" s="34"/>
      <c r="AI82" s="50"/>
      <c r="AJ82" s="50"/>
      <c r="AK82" s="50"/>
      <c r="AL82" s="50"/>
      <c r="AM82" s="50"/>
      <c r="AN82" s="50"/>
    </row>
    <row r="83" ht="15.75" customHeight="1">
      <c r="A83" s="33">
        <v>80.0</v>
      </c>
      <c r="B83" s="34"/>
      <c r="C83" s="50"/>
      <c r="D83" s="34"/>
      <c r="E83" s="34"/>
      <c r="F83" s="34"/>
      <c r="G83" s="34"/>
      <c r="H83" s="34"/>
      <c r="I83" s="34"/>
      <c r="J83" s="50"/>
      <c r="K83" s="34"/>
      <c r="L83" s="34"/>
      <c r="M83" s="34"/>
      <c r="N83" s="34"/>
      <c r="O83" s="50"/>
      <c r="P83" s="34"/>
      <c r="Q83" s="34"/>
      <c r="R83" s="34"/>
      <c r="S83" s="34"/>
      <c r="T83" s="50"/>
      <c r="U83" s="34"/>
      <c r="V83" s="34"/>
      <c r="W83" s="34"/>
      <c r="X83" s="34"/>
      <c r="Y83" s="50"/>
      <c r="Z83" s="34"/>
      <c r="AA83" s="34"/>
      <c r="AB83" s="34"/>
      <c r="AC83" s="34"/>
      <c r="AD83" s="50"/>
      <c r="AE83" s="34"/>
      <c r="AF83" s="34"/>
      <c r="AG83" s="34"/>
      <c r="AH83" s="34"/>
      <c r="AI83" s="50"/>
      <c r="AJ83" s="50"/>
      <c r="AK83" s="50"/>
      <c r="AL83" s="50"/>
      <c r="AM83" s="50"/>
      <c r="AN83" s="50"/>
    </row>
    <row r="84" ht="15.75" customHeight="1">
      <c r="A84" s="33">
        <v>81.0</v>
      </c>
      <c r="B84" s="34"/>
      <c r="C84" s="50"/>
      <c r="D84" s="34"/>
      <c r="E84" s="34"/>
      <c r="F84" s="34"/>
      <c r="G84" s="34"/>
      <c r="H84" s="34"/>
      <c r="I84" s="34"/>
      <c r="J84" s="50"/>
      <c r="K84" s="34"/>
      <c r="L84" s="34"/>
      <c r="M84" s="34"/>
      <c r="N84" s="34"/>
      <c r="O84" s="50"/>
      <c r="P84" s="34"/>
      <c r="Q84" s="34"/>
      <c r="R84" s="34"/>
      <c r="S84" s="34"/>
      <c r="T84" s="50"/>
      <c r="U84" s="34"/>
      <c r="V84" s="34"/>
      <c r="W84" s="34"/>
      <c r="X84" s="34"/>
      <c r="Y84" s="50"/>
      <c r="Z84" s="34"/>
      <c r="AA84" s="34"/>
      <c r="AB84" s="34"/>
      <c r="AC84" s="34"/>
      <c r="AD84" s="50"/>
      <c r="AE84" s="34"/>
      <c r="AF84" s="34"/>
      <c r="AG84" s="34"/>
      <c r="AH84" s="34"/>
      <c r="AI84" s="50"/>
      <c r="AJ84" s="50"/>
      <c r="AK84" s="50"/>
      <c r="AL84" s="50"/>
      <c r="AM84" s="50"/>
      <c r="AN84" s="50"/>
    </row>
    <row r="85" ht="15.75" customHeight="1">
      <c r="A85" s="33">
        <v>82.0</v>
      </c>
      <c r="B85" s="34"/>
      <c r="C85" s="50"/>
      <c r="D85" s="34"/>
      <c r="E85" s="34"/>
      <c r="F85" s="34"/>
      <c r="G85" s="34"/>
      <c r="H85" s="34"/>
      <c r="I85" s="34"/>
      <c r="J85" s="50"/>
      <c r="K85" s="34"/>
      <c r="L85" s="34"/>
      <c r="M85" s="34"/>
      <c r="N85" s="34"/>
      <c r="O85" s="50"/>
      <c r="P85" s="34"/>
      <c r="Q85" s="34"/>
      <c r="R85" s="34"/>
      <c r="S85" s="34"/>
      <c r="T85" s="50"/>
      <c r="U85" s="34"/>
      <c r="V85" s="34"/>
      <c r="W85" s="34"/>
      <c r="X85" s="34"/>
      <c r="Y85" s="50"/>
      <c r="Z85" s="34"/>
      <c r="AA85" s="34"/>
      <c r="AB85" s="34"/>
      <c r="AC85" s="34"/>
      <c r="AD85" s="50"/>
      <c r="AE85" s="34"/>
      <c r="AF85" s="34"/>
      <c r="AG85" s="34"/>
      <c r="AH85" s="34"/>
      <c r="AI85" s="50"/>
      <c r="AJ85" s="50"/>
      <c r="AK85" s="50"/>
      <c r="AL85" s="50"/>
      <c r="AM85" s="50"/>
      <c r="AN85" s="50"/>
    </row>
    <row r="86" ht="15.75" customHeight="1">
      <c r="A86" s="33">
        <v>83.0</v>
      </c>
      <c r="B86" s="34"/>
      <c r="C86" s="50"/>
      <c r="D86" s="34"/>
      <c r="E86" s="34"/>
      <c r="F86" s="34"/>
      <c r="G86" s="34"/>
      <c r="H86" s="34"/>
      <c r="I86" s="34"/>
      <c r="J86" s="50"/>
      <c r="K86" s="34"/>
      <c r="L86" s="34"/>
      <c r="M86" s="34"/>
      <c r="N86" s="34"/>
      <c r="O86" s="50"/>
      <c r="P86" s="34"/>
      <c r="Q86" s="34"/>
      <c r="R86" s="34"/>
      <c r="S86" s="34"/>
      <c r="T86" s="50"/>
      <c r="U86" s="34"/>
      <c r="V86" s="34"/>
      <c r="W86" s="34"/>
      <c r="X86" s="34"/>
      <c r="Y86" s="50"/>
      <c r="Z86" s="34"/>
      <c r="AA86" s="34"/>
      <c r="AB86" s="34"/>
      <c r="AC86" s="34"/>
      <c r="AD86" s="50"/>
      <c r="AE86" s="34"/>
      <c r="AF86" s="34"/>
      <c r="AG86" s="34"/>
      <c r="AH86" s="34"/>
      <c r="AI86" s="50"/>
      <c r="AJ86" s="50"/>
      <c r="AK86" s="50"/>
      <c r="AL86" s="50"/>
      <c r="AM86" s="50"/>
      <c r="AN86" s="50"/>
    </row>
    <row r="87" ht="15.75" customHeight="1">
      <c r="A87" s="33">
        <v>84.0</v>
      </c>
      <c r="B87" s="34"/>
      <c r="C87" s="50"/>
      <c r="D87" s="34"/>
      <c r="E87" s="34"/>
      <c r="F87" s="34"/>
      <c r="G87" s="34"/>
      <c r="H87" s="34"/>
      <c r="I87" s="34"/>
      <c r="J87" s="50"/>
      <c r="K87" s="34"/>
      <c r="L87" s="34"/>
      <c r="M87" s="34"/>
      <c r="N87" s="34"/>
      <c r="O87" s="50"/>
      <c r="P87" s="34"/>
      <c r="Q87" s="34"/>
      <c r="R87" s="34"/>
      <c r="S87" s="34"/>
      <c r="T87" s="50"/>
      <c r="U87" s="34"/>
      <c r="V87" s="34"/>
      <c r="W87" s="34"/>
      <c r="X87" s="34"/>
      <c r="Y87" s="50"/>
      <c r="Z87" s="34"/>
      <c r="AA87" s="34"/>
      <c r="AB87" s="34"/>
      <c r="AC87" s="34"/>
      <c r="AD87" s="50"/>
      <c r="AE87" s="34"/>
      <c r="AF87" s="34"/>
      <c r="AG87" s="34"/>
      <c r="AH87" s="34"/>
      <c r="AI87" s="50"/>
      <c r="AJ87" s="50"/>
      <c r="AK87" s="50"/>
      <c r="AL87" s="50"/>
      <c r="AM87" s="50"/>
      <c r="AN87" s="50"/>
    </row>
    <row r="88" ht="15.75" customHeight="1">
      <c r="A88" s="33">
        <v>85.0</v>
      </c>
      <c r="B88" s="34"/>
      <c r="C88" s="50"/>
      <c r="D88" s="34"/>
      <c r="E88" s="34"/>
      <c r="F88" s="34"/>
      <c r="G88" s="34"/>
      <c r="H88" s="34"/>
      <c r="I88" s="34"/>
      <c r="J88" s="50"/>
      <c r="K88" s="34"/>
      <c r="L88" s="34"/>
      <c r="M88" s="34"/>
      <c r="N88" s="34"/>
      <c r="O88" s="50"/>
      <c r="P88" s="34"/>
      <c r="Q88" s="34"/>
      <c r="R88" s="34"/>
      <c r="S88" s="34"/>
      <c r="T88" s="50"/>
      <c r="U88" s="34"/>
      <c r="V88" s="34"/>
      <c r="W88" s="34"/>
      <c r="X88" s="34"/>
      <c r="Y88" s="50"/>
      <c r="Z88" s="34"/>
      <c r="AA88" s="34"/>
      <c r="AB88" s="34"/>
      <c r="AC88" s="34"/>
      <c r="AD88" s="50"/>
      <c r="AE88" s="34"/>
      <c r="AF88" s="34"/>
      <c r="AG88" s="34"/>
      <c r="AH88" s="34"/>
      <c r="AI88" s="50"/>
      <c r="AJ88" s="50"/>
      <c r="AK88" s="50"/>
      <c r="AL88" s="50"/>
      <c r="AM88" s="50"/>
      <c r="AN88" s="50"/>
    </row>
    <row r="89" ht="15.75" customHeight="1">
      <c r="A89" s="33">
        <v>86.0</v>
      </c>
      <c r="B89" s="34"/>
      <c r="C89" s="50"/>
      <c r="D89" s="34"/>
      <c r="E89" s="34"/>
      <c r="F89" s="34"/>
      <c r="G89" s="34"/>
      <c r="H89" s="34"/>
      <c r="I89" s="34"/>
      <c r="J89" s="50"/>
      <c r="K89" s="34"/>
      <c r="L89" s="34"/>
      <c r="M89" s="34"/>
      <c r="N89" s="34"/>
      <c r="O89" s="50"/>
      <c r="P89" s="34"/>
      <c r="Q89" s="34"/>
      <c r="R89" s="34"/>
      <c r="S89" s="34"/>
      <c r="T89" s="50"/>
      <c r="U89" s="34"/>
      <c r="V89" s="34"/>
      <c r="W89" s="34"/>
      <c r="X89" s="34"/>
      <c r="Y89" s="50"/>
      <c r="Z89" s="34"/>
      <c r="AA89" s="34"/>
      <c r="AB89" s="34"/>
      <c r="AC89" s="34"/>
      <c r="AD89" s="50"/>
      <c r="AE89" s="34"/>
      <c r="AF89" s="34"/>
      <c r="AG89" s="34"/>
      <c r="AH89" s="34"/>
      <c r="AI89" s="50"/>
      <c r="AJ89" s="50"/>
      <c r="AK89" s="50"/>
      <c r="AL89" s="50"/>
      <c r="AM89" s="50"/>
      <c r="AN89" s="50"/>
    </row>
    <row r="90" ht="15.75" customHeight="1">
      <c r="A90" s="33">
        <v>87.0</v>
      </c>
      <c r="B90" s="34"/>
      <c r="C90" s="50"/>
      <c r="D90" s="34"/>
      <c r="E90" s="34"/>
      <c r="F90" s="34"/>
      <c r="G90" s="34"/>
      <c r="H90" s="34"/>
      <c r="I90" s="34"/>
      <c r="J90" s="50"/>
      <c r="K90" s="34"/>
      <c r="L90" s="34"/>
      <c r="M90" s="34"/>
      <c r="N90" s="34"/>
      <c r="O90" s="50"/>
      <c r="P90" s="34"/>
      <c r="Q90" s="34"/>
      <c r="R90" s="34"/>
      <c r="S90" s="34"/>
      <c r="T90" s="50"/>
      <c r="U90" s="34"/>
      <c r="V90" s="34"/>
      <c r="W90" s="34"/>
      <c r="X90" s="34"/>
      <c r="Y90" s="50"/>
      <c r="Z90" s="34"/>
      <c r="AA90" s="34"/>
      <c r="AB90" s="34"/>
      <c r="AC90" s="34"/>
      <c r="AD90" s="50"/>
      <c r="AE90" s="34"/>
      <c r="AF90" s="34"/>
      <c r="AG90" s="34"/>
      <c r="AH90" s="34"/>
      <c r="AI90" s="50"/>
      <c r="AJ90" s="50"/>
      <c r="AK90" s="50"/>
      <c r="AL90" s="50"/>
      <c r="AM90" s="50"/>
      <c r="AN90" s="50"/>
    </row>
    <row r="91" ht="15.75" customHeight="1">
      <c r="A91" s="33">
        <v>88.0</v>
      </c>
      <c r="B91" s="34"/>
      <c r="C91" s="50"/>
      <c r="D91" s="34"/>
      <c r="E91" s="34"/>
      <c r="F91" s="34"/>
      <c r="G91" s="34"/>
      <c r="H91" s="34"/>
      <c r="I91" s="34"/>
      <c r="J91" s="50"/>
      <c r="K91" s="34"/>
      <c r="L91" s="34"/>
      <c r="M91" s="34"/>
      <c r="N91" s="34"/>
      <c r="O91" s="50"/>
      <c r="P91" s="34"/>
      <c r="Q91" s="34"/>
      <c r="R91" s="34"/>
      <c r="S91" s="34"/>
      <c r="T91" s="50"/>
      <c r="U91" s="34"/>
      <c r="V91" s="34"/>
      <c r="W91" s="34"/>
      <c r="X91" s="34"/>
      <c r="Y91" s="50"/>
      <c r="Z91" s="34"/>
      <c r="AA91" s="34"/>
      <c r="AB91" s="34"/>
      <c r="AC91" s="34"/>
      <c r="AD91" s="50"/>
      <c r="AE91" s="34"/>
      <c r="AF91" s="34"/>
      <c r="AG91" s="34"/>
      <c r="AH91" s="34"/>
      <c r="AI91" s="50"/>
      <c r="AJ91" s="50"/>
      <c r="AK91" s="50"/>
      <c r="AL91" s="50"/>
      <c r="AM91" s="50"/>
      <c r="AN91" s="50"/>
    </row>
    <row r="92" ht="15.75" customHeight="1">
      <c r="A92" s="33">
        <v>89.0</v>
      </c>
      <c r="B92" s="34"/>
      <c r="C92" s="50"/>
      <c r="D92" s="34"/>
      <c r="E92" s="34"/>
      <c r="F92" s="34"/>
      <c r="G92" s="34"/>
      <c r="H92" s="34"/>
      <c r="I92" s="34"/>
      <c r="J92" s="50"/>
      <c r="K92" s="34"/>
      <c r="L92" s="34"/>
      <c r="M92" s="34"/>
      <c r="N92" s="34"/>
      <c r="O92" s="50"/>
      <c r="P92" s="34"/>
      <c r="Q92" s="34"/>
      <c r="R92" s="34"/>
      <c r="S92" s="34"/>
      <c r="T92" s="50"/>
      <c r="U92" s="34"/>
      <c r="V92" s="34"/>
      <c r="W92" s="34"/>
      <c r="X92" s="34"/>
      <c r="Y92" s="50"/>
      <c r="Z92" s="34"/>
      <c r="AA92" s="34"/>
      <c r="AB92" s="34"/>
      <c r="AC92" s="34"/>
      <c r="AD92" s="50"/>
      <c r="AE92" s="34"/>
      <c r="AF92" s="34"/>
      <c r="AG92" s="34"/>
      <c r="AH92" s="34"/>
      <c r="AI92" s="50"/>
      <c r="AJ92" s="50"/>
      <c r="AK92" s="50"/>
      <c r="AL92" s="50"/>
      <c r="AM92" s="50"/>
      <c r="AN92" s="50"/>
    </row>
    <row r="93" ht="15.75" customHeight="1">
      <c r="A93" s="33">
        <v>90.0</v>
      </c>
      <c r="B93" s="34"/>
      <c r="C93" s="50"/>
      <c r="D93" s="34"/>
      <c r="E93" s="34"/>
      <c r="F93" s="34"/>
      <c r="G93" s="34"/>
      <c r="H93" s="34"/>
      <c r="I93" s="34"/>
      <c r="J93" s="50"/>
      <c r="K93" s="34"/>
      <c r="L93" s="34"/>
      <c r="M93" s="34"/>
      <c r="N93" s="34"/>
      <c r="O93" s="50"/>
      <c r="P93" s="34"/>
      <c r="Q93" s="34"/>
      <c r="R93" s="34"/>
      <c r="S93" s="34"/>
      <c r="T93" s="50"/>
      <c r="U93" s="34"/>
      <c r="V93" s="34"/>
      <c r="W93" s="34"/>
      <c r="X93" s="34"/>
      <c r="Y93" s="50"/>
      <c r="Z93" s="34"/>
      <c r="AA93" s="34"/>
      <c r="AB93" s="34"/>
      <c r="AC93" s="34"/>
      <c r="AD93" s="50"/>
      <c r="AE93" s="34"/>
      <c r="AF93" s="34"/>
      <c r="AG93" s="34"/>
      <c r="AH93" s="34"/>
      <c r="AI93" s="50"/>
      <c r="AJ93" s="50"/>
      <c r="AK93" s="50"/>
      <c r="AL93" s="50"/>
      <c r="AM93" s="50"/>
      <c r="AN93" s="50"/>
    </row>
    <row r="94" ht="15.75" customHeight="1">
      <c r="A94" s="33">
        <v>91.0</v>
      </c>
      <c r="B94" s="34"/>
      <c r="C94" s="50"/>
      <c r="D94" s="34"/>
      <c r="E94" s="34"/>
      <c r="F94" s="34"/>
      <c r="G94" s="34"/>
      <c r="H94" s="34"/>
      <c r="I94" s="34"/>
      <c r="J94" s="50"/>
      <c r="K94" s="34"/>
      <c r="L94" s="34"/>
      <c r="M94" s="34"/>
      <c r="N94" s="34"/>
      <c r="O94" s="50"/>
      <c r="P94" s="34"/>
      <c r="Q94" s="34"/>
      <c r="R94" s="34"/>
      <c r="S94" s="34"/>
      <c r="T94" s="50"/>
      <c r="U94" s="34"/>
      <c r="V94" s="34"/>
      <c r="W94" s="34"/>
      <c r="X94" s="34"/>
      <c r="Y94" s="50"/>
      <c r="Z94" s="34"/>
      <c r="AA94" s="34"/>
      <c r="AB94" s="34"/>
      <c r="AC94" s="34"/>
      <c r="AD94" s="50"/>
      <c r="AE94" s="34"/>
      <c r="AF94" s="34"/>
      <c r="AG94" s="34"/>
      <c r="AH94" s="34"/>
      <c r="AI94" s="50"/>
      <c r="AJ94" s="50"/>
      <c r="AK94" s="50"/>
      <c r="AL94" s="50"/>
      <c r="AM94" s="50"/>
      <c r="AN94" s="50"/>
    </row>
    <row r="95" ht="15.75" customHeight="1">
      <c r="A95" s="33">
        <v>92.0</v>
      </c>
      <c r="B95" s="34"/>
      <c r="C95" s="50"/>
      <c r="D95" s="34"/>
      <c r="E95" s="34"/>
      <c r="F95" s="34"/>
      <c r="G95" s="34"/>
      <c r="H95" s="34"/>
      <c r="I95" s="34"/>
      <c r="J95" s="50"/>
      <c r="K95" s="34"/>
      <c r="L95" s="34"/>
      <c r="M95" s="34"/>
      <c r="N95" s="34"/>
      <c r="O95" s="50"/>
      <c r="P95" s="34"/>
      <c r="Q95" s="34"/>
      <c r="R95" s="34"/>
      <c r="S95" s="34"/>
      <c r="T95" s="50"/>
      <c r="U95" s="34"/>
      <c r="V95" s="34"/>
      <c r="W95" s="34"/>
      <c r="X95" s="34"/>
      <c r="Y95" s="50"/>
      <c r="Z95" s="34"/>
      <c r="AA95" s="34"/>
      <c r="AB95" s="34"/>
      <c r="AC95" s="34"/>
      <c r="AD95" s="50"/>
      <c r="AE95" s="34"/>
      <c r="AF95" s="34"/>
      <c r="AG95" s="34"/>
      <c r="AH95" s="34"/>
      <c r="AI95" s="50"/>
      <c r="AJ95" s="50"/>
      <c r="AK95" s="50"/>
      <c r="AL95" s="50"/>
      <c r="AM95" s="50"/>
      <c r="AN95" s="50"/>
    </row>
    <row r="96" ht="15.75" customHeight="1">
      <c r="A96" s="33">
        <v>93.0</v>
      </c>
      <c r="B96" s="34"/>
      <c r="C96" s="50"/>
      <c r="D96" s="34"/>
      <c r="E96" s="34"/>
      <c r="F96" s="34"/>
      <c r="G96" s="34"/>
      <c r="H96" s="34"/>
      <c r="I96" s="34"/>
      <c r="J96" s="50"/>
      <c r="K96" s="34"/>
      <c r="L96" s="34"/>
      <c r="M96" s="34"/>
      <c r="N96" s="34"/>
      <c r="O96" s="50"/>
      <c r="P96" s="34"/>
      <c r="Q96" s="34"/>
      <c r="R96" s="34"/>
      <c r="S96" s="34"/>
      <c r="T96" s="50"/>
      <c r="U96" s="34"/>
      <c r="V96" s="34"/>
      <c r="W96" s="34"/>
      <c r="X96" s="34"/>
      <c r="Y96" s="50"/>
      <c r="Z96" s="34"/>
      <c r="AA96" s="34"/>
      <c r="AB96" s="34"/>
      <c r="AC96" s="34"/>
      <c r="AD96" s="50"/>
      <c r="AE96" s="34"/>
      <c r="AF96" s="34"/>
      <c r="AG96" s="34"/>
      <c r="AH96" s="34"/>
      <c r="AI96" s="50"/>
      <c r="AJ96" s="50"/>
      <c r="AK96" s="50"/>
      <c r="AL96" s="50"/>
      <c r="AM96" s="50"/>
      <c r="AN96" s="50"/>
    </row>
    <row r="97" ht="15.75" customHeight="1">
      <c r="A97" s="33">
        <v>94.0</v>
      </c>
      <c r="B97" s="34"/>
      <c r="C97" s="50"/>
      <c r="D97" s="34"/>
      <c r="E97" s="34"/>
      <c r="F97" s="34"/>
      <c r="G97" s="34"/>
      <c r="H97" s="34"/>
      <c r="I97" s="34"/>
      <c r="J97" s="50"/>
      <c r="K97" s="34"/>
      <c r="L97" s="34"/>
      <c r="M97" s="34"/>
      <c r="N97" s="34"/>
      <c r="O97" s="50"/>
      <c r="P97" s="34"/>
      <c r="Q97" s="34"/>
      <c r="R97" s="34"/>
      <c r="S97" s="34"/>
      <c r="T97" s="50"/>
      <c r="U97" s="34"/>
      <c r="V97" s="34"/>
      <c r="W97" s="34"/>
      <c r="X97" s="34"/>
      <c r="Y97" s="50"/>
      <c r="Z97" s="34"/>
      <c r="AA97" s="34"/>
      <c r="AB97" s="34"/>
      <c r="AC97" s="34"/>
      <c r="AD97" s="50"/>
      <c r="AE97" s="34"/>
      <c r="AF97" s="34"/>
      <c r="AG97" s="34"/>
      <c r="AH97" s="34"/>
      <c r="AI97" s="50"/>
      <c r="AJ97" s="50"/>
      <c r="AK97" s="50"/>
      <c r="AL97" s="50"/>
      <c r="AM97" s="50"/>
      <c r="AN97" s="50"/>
    </row>
    <row r="98" ht="15.75" customHeight="1">
      <c r="A98" s="33">
        <v>95.0</v>
      </c>
      <c r="B98" s="34"/>
      <c r="C98" s="50"/>
      <c r="D98" s="34"/>
      <c r="E98" s="34"/>
      <c r="F98" s="34"/>
      <c r="G98" s="34"/>
      <c r="H98" s="34"/>
      <c r="I98" s="34"/>
      <c r="J98" s="50"/>
      <c r="K98" s="34"/>
      <c r="L98" s="34"/>
      <c r="M98" s="34"/>
      <c r="N98" s="34"/>
      <c r="O98" s="50"/>
      <c r="P98" s="34"/>
      <c r="Q98" s="34"/>
      <c r="R98" s="34"/>
      <c r="S98" s="34"/>
      <c r="T98" s="50"/>
      <c r="U98" s="34"/>
      <c r="V98" s="34"/>
      <c r="W98" s="34"/>
      <c r="X98" s="34"/>
      <c r="Y98" s="50"/>
      <c r="Z98" s="34"/>
      <c r="AA98" s="34"/>
      <c r="AB98" s="34"/>
      <c r="AC98" s="34"/>
      <c r="AD98" s="50"/>
      <c r="AE98" s="34"/>
      <c r="AF98" s="34"/>
      <c r="AG98" s="34"/>
      <c r="AH98" s="34"/>
      <c r="AI98" s="50"/>
      <c r="AJ98" s="50"/>
      <c r="AK98" s="50"/>
      <c r="AL98" s="50"/>
      <c r="AM98" s="50"/>
      <c r="AN98" s="50"/>
    </row>
    <row r="99" ht="15.75" customHeight="1">
      <c r="A99" s="33">
        <v>96.0</v>
      </c>
      <c r="B99" s="34"/>
      <c r="C99" s="50"/>
      <c r="D99" s="34"/>
      <c r="E99" s="34"/>
      <c r="F99" s="34"/>
      <c r="G99" s="34"/>
      <c r="H99" s="34"/>
      <c r="I99" s="34"/>
      <c r="J99" s="50"/>
      <c r="K99" s="34"/>
      <c r="L99" s="34"/>
      <c r="M99" s="34"/>
      <c r="N99" s="34"/>
      <c r="O99" s="50"/>
      <c r="P99" s="34"/>
      <c r="Q99" s="34"/>
      <c r="R99" s="34"/>
      <c r="S99" s="34"/>
      <c r="T99" s="50"/>
      <c r="U99" s="34"/>
      <c r="V99" s="34"/>
      <c r="W99" s="34"/>
      <c r="X99" s="34"/>
      <c r="Y99" s="50"/>
      <c r="Z99" s="34"/>
      <c r="AA99" s="34"/>
      <c r="AB99" s="34"/>
      <c r="AC99" s="34"/>
      <c r="AD99" s="50"/>
      <c r="AE99" s="34"/>
      <c r="AF99" s="34"/>
      <c r="AG99" s="34"/>
      <c r="AH99" s="34"/>
      <c r="AI99" s="50"/>
      <c r="AJ99" s="50"/>
      <c r="AK99" s="50"/>
      <c r="AL99" s="50"/>
      <c r="AM99" s="50"/>
      <c r="AN99" s="50"/>
    </row>
    <row r="100" ht="15.75" customHeight="1">
      <c r="A100" s="33">
        <v>97.0</v>
      </c>
      <c r="B100" s="34"/>
      <c r="C100" s="50"/>
      <c r="D100" s="34"/>
      <c r="E100" s="34"/>
      <c r="F100" s="34"/>
      <c r="G100" s="34"/>
      <c r="H100" s="34"/>
      <c r="I100" s="34"/>
      <c r="J100" s="50"/>
      <c r="K100" s="34"/>
      <c r="L100" s="34"/>
      <c r="M100" s="34"/>
      <c r="N100" s="34"/>
      <c r="O100" s="50"/>
      <c r="P100" s="34"/>
      <c r="Q100" s="34"/>
      <c r="R100" s="34"/>
      <c r="S100" s="34"/>
      <c r="T100" s="50"/>
      <c r="U100" s="34"/>
      <c r="V100" s="34"/>
      <c r="W100" s="34"/>
      <c r="X100" s="34"/>
      <c r="Y100" s="50"/>
      <c r="Z100" s="34"/>
      <c r="AA100" s="34"/>
      <c r="AB100" s="34"/>
      <c r="AC100" s="34"/>
      <c r="AD100" s="50"/>
      <c r="AE100" s="34"/>
      <c r="AF100" s="34"/>
      <c r="AG100" s="34"/>
      <c r="AH100" s="34"/>
      <c r="AI100" s="50"/>
      <c r="AJ100" s="50"/>
      <c r="AK100" s="50"/>
      <c r="AL100" s="50"/>
      <c r="AM100" s="50"/>
      <c r="AN100" s="50"/>
    </row>
    <row r="101" ht="15.75" customHeight="1">
      <c r="A101" s="33">
        <v>98.0</v>
      </c>
      <c r="B101" s="34"/>
      <c r="C101" s="50"/>
      <c r="D101" s="34"/>
      <c r="E101" s="34"/>
      <c r="F101" s="34"/>
      <c r="G101" s="34"/>
      <c r="H101" s="34"/>
      <c r="I101" s="34"/>
      <c r="J101" s="50"/>
      <c r="K101" s="34"/>
      <c r="L101" s="34"/>
      <c r="M101" s="34"/>
      <c r="N101" s="34"/>
      <c r="O101" s="50"/>
      <c r="P101" s="34"/>
      <c r="Q101" s="34"/>
      <c r="R101" s="34"/>
      <c r="S101" s="34"/>
      <c r="T101" s="50"/>
      <c r="U101" s="34"/>
      <c r="V101" s="34"/>
      <c r="W101" s="34"/>
      <c r="X101" s="34"/>
      <c r="Y101" s="50"/>
      <c r="Z101" s="34"/>
      <c r="AA101" s="34"/>
      <c r="AB101" s="34"/>
      <c r="AC101" s="34"/>
      <c r="AD101" s="50"/>
      <c r="AE101" s="34"/>
      <c r="AF101" s="34"/>
      <c r="AG101" s="34"/>
      <c r="AH101" s="34"/>
      <c r="AI101" s="50"/>
      <c r="AJ101" s="50"/>
      <c r="AK101" s="50"/>
      <c r="AL101" s="50"/>
      <c r="AM101" s="50"/>
      <c r="AN101" s="50"/>
    </row>
    <row r="102" ht="15.75" customHeight="1">
      <c r="A102" s="33">
        <v>99.0</v>
      </c>
      <c r="B102" s="34"/>
      <c r="C102" s="50"/>
      <c r="D102" s="34"/>
      <c r="E102" s="34"/>
      <c r="F102" s="34"/>
      <c r="G102" s="34"/>
      <c r="H102" s="34"/>
      <c r="I102" s="34"/>
      <c r="J102" s="50"/>
      <c r="K102" s="34"/>
      <c r="L102" s="34"/>
      <c r="M102" s="34"/>
      <c r="N102" s="34"/>
      <c r="O102" s="50"/>
      <c r="P102" s="34"/>
      <c r="Q102" s="34"/>
      <c r="R102" s="34"/>
      <c r="S102" s="34"/>
      <c r="T102" s="50"/>
      <c r="U102" s="34"/>
      <c r="V102" s="34"/>
      <c r="W102" s="34"/>
      <c r="X102" s="34"/>
      <c r="Y102" s="50"/>
      <c r="Z102" s="34"/>
      <c r="AA102" s="34"/>
      <c r="AB102" s="34"/>
      <c r="AC102" s="34"/>
      <c r="AD102" s="50"/>
      <c r="AE102" s="34"/>
      <c r="AF102" s="34"/>
      <c r="AG102" s="34"/>
      <c r="AH102" s="34"/>
      <c r="AI102" s="50"/>
      <c r="AJ102" s="50"/>
      <c r="AK102" s="50"/>
      <c r="AL102" s="50"/>
      <c r="AM102" s="50"/>
      <c r="AN102" s="50"/>
    </row>
    <row r="103" ht="15.75" customHeight="1">
      <c r="A103" s="33">
        <v>100.0</v>
      </c>
      <c r="B103" s="34"/>
      <c r="C103" s="50"/>
      <c r="D103" s="34"/>
      <c r="E103" s="34"/>
      <c r="F103" s="34"/>
      <c r="G103" s="34"/>
      <c r="H103" s="34"/>
      <c r="I103" s="34"/>
      <c r="J103" s="50"/>
      <c r="K103" s="34"/>
      <c r="L103" s="34"/>
      <c r="M103" s="34"/>
      <c r="N103" s="34"/>
      <c r="O103" s="50"/>
      <c r="P103" s="34"/>
      <c r="Q103" s="34"/>
      <c r="R103" s="34"/>
      <c r="S103" s="34"/>
      <c r="T103" s="50"/>
      <c r="U103" s="34"/>
      <c r="V103" s="34"/>
      <c r="W103" s="34"/>
      <c r="X103" s="34"/>
      <c r="Y103" s="50"/>
      <c r="Z103" s="34"/>
      <c r="AA103" s="34"/>
      <c r="AB103" s="34"/>
      <c r="AC103" s="34"/>
      <c r="AD103" s="50"/>
      <c r="AE103" s="34"/>
      <c r="AF103" s="34"/>
      <c r="AG103" s="34"/>
      <c r="AH103" s="34"/>
      <c r="AI103" s="50"/>
      <c r="AJ103" s="50"/>
      <c r="AK103" s="50"/>
      <c r="AL103" s="50"/>
      <c r="AM103" s="50"/>
      <c r="AN103" s="50"/>
    </row>
    <row r="104" ht="15.75" customHeight="1">
      <c r="A104" s="33">
        <v>101.0</v>
      </c>
      <c r="B104" s="34"/>
      <c r="C104" s="50"/>
      <c r="D104" s="34"/>
      <c r="E104" s="34"/>
      <c r="F104" s="34"/>
      <c r="G104" s="34"/>
      <c r="H104" s="34"/>
      <c r="I104" s="34"/>
      <c r="J104" s="50"/>
      <c r="K104" s="34"/>
      <c r="L104" s="34"/>
      <c r="M104" s="34"/>
      <c r="N104" s="34"/>
      <c r="O104" s="50"/>
      <c r="P104" s="34"/>
      <c r="Q104" s="34"/>
      <c r="R104" s="34"/>
      <c r="S104" s="34"/>
      <c r="T104" s="50"/>
      <c r="U104" s="34"/>
      <c r="V104" s="34"/>
      <c r="W104" s="34"/>
      <c r="X104" s="34"/>
      <c r="Y104" s="50"/>
      <c r="Z104" s="34"/>
      <c r="AA104" s="34"/>
      <c r="AB104" s="34"/>
      <c r="AC104" s="34"/>
      <c r="AD104" s="50"/>
      <c r="AE104" s="34"/>
      <c r="AF104" s="34"/>
      <c r="AG104" s="34"/>
      <c r="AH104" s="34"/>
      <c r="AI104" s="50"/>
      <c r="AJ104" s="50"/>
      <c r="AK104" s="50"/>
      <c r="AL104" s="50"/>
      <c r="AM104" s="50"/>
      <c r="AN104" s="50"/>
    </row>
    <row r="105" ht="15.75" customHeight="1">
      <c r="A105" s="33">
        <v>102.0</v>
      </c>
      <c r="B105" s="34"/>
      <c r="C105" s="50"/>
      <c r="D105" s="34"/>
      <c r="E105" s="34"/>
      <c r="F105" s="34"/>
      <c r="G105" s="34"/>
      <c r="H105" s="34"/>
      <c r="I105" s="34"/>
      <c r="J105" s="50"/>
      <c r="K105" s="34"/>
      <c r="L105" s="34"/>
      <c r="M105" s="34"/>
      <c r="N105" s="34"/>
      <c r="O105" s="50"/>
      <c r="P105" s="34"/>
      <c r="Q105" s="34"/>
      <c r="R105" s="34"/>
      <c r="S105" s="34"/>
      <c r="T105" s="50"/>
      <c r="U105" s="34"/>
      <c r="V105" s="34"/>
      <c r="W105" s="34"/>
      <c r="X105" s="34"/>
      <c r="Y105" s="50"/>
      <c r="Z105" s="34"/>
      <c r="AA105" s="34"/>
      <c r="AB105" s="34"/>
      <c r="AC105" s="34"/>
      <c r="AD105" s="50"/>
      <c r="AE105" s="34"/>
      <c r="AF105" s="34"/>
      <c r="AG105" s="34"/>
      <c r="AH105" s="34"/>
      <c r="AI105" s="50"/>
      <c r="AJ105" s="50"/>
      <c r="AK105" s="50"/>
      <c r="AL105" s="50"/>
      <c r="AM105" s="50"/>
      <c r="AN105" s="50"/>
    </row>
    <row r="106" ht="15.75" customHeight="1">
      <c r="A106" s="33">
        <v>103.0</v>
      </c>
      <c r="B106" s="34"/>
      <c r="C106" s="50"/>
      <c r="D106" s="34"/>
      <c r="E106" s="34"/>
      <c r="F106" s="34"/>
      <c r="G106" s="34"/>
      <c r="H106" s="34"/>
      <c r="I106" s="34"/>
      <c r="J106" s="50"/>
      <c r="K106" s="34"/>
      <c r="L106" s="34"/>
      <c r="M106" s="34"/>
      <c r="N106" s="34"/>
      <c r="O106" s="50"/>
      <c r="P106" s="34"/>
      <c r="Q106" s="34"/>
      <c r="R106" s="34"/>
      <c r="S106" s="34"/>
      <c r="T106" s="50"/>
      <c r="U106" s="34"/>
      <c r="V106" s="34"/>
      <c r="W106" s="34"/>
      <c r="X106" s="34"/>
      <c r="Y106" s="50"/>
      <c r="Z106" s="34"/>
      <c r="AA106" s="34"/>
      <c r="AB106" s="34"/>
      <c r="AC106" s="34"/>
      <c r="AD106" s="50"/>
      <c r="AE106" s="34"/>
      <c r="AF106" s="34"/>
      <c r="AG106" s="34"/>
      <c r="AH106" s="34"/>
      <c r="AI106" s="50"/>
      <c r="AJ106" s="50"/>
      <c r="AK106" s="50"/>
      <c r="AL106" s="50"/>
      <c r="AM106" s="50"/>
      <c r="AN106" s="50"/>
    </row>
    <row r="107" ht="15.75" customHeight="1">
      <c r="A107" s="33">
        <v>104.0</v>
      </c>
      <c r="B107" s="34"/>
      <c r="C107" s="50"/>
      <c r="D107" s="34"/>
      <c r="E107" s="34"/>
      <c r="F107" s="34"/>
      <c r="G107" s="34"/>
      <c r="H107" s="34"/>
      <c r="I107" s="34"/>
      <c r="J107" s="50"/>
      <c r="K107" s="34"/>
      <c r="L107" s="34"/>
      <c r="M107" s="34"/>
      <c r="N107" s="34"/>
      <c r="O107" s="50"/>
      <c r="P107" s="34"/>
      <c r="Q107" s="34"/>
      <c r="R107" s="34"/>
      <c r="S107" s="34"/>
      <c r="T107" s="50"/>
      <c r="U107" s="34"/>
      <c r="V107" s="34"/>
      <c r="W107" s="34"/>
      <c r="X107" s="34"/>
      <c r="Y107" s="50"/>
      <c r="Z107" s="34"/>
      <c r="AA107" s="34"/>
      <c r="AB107" s="34"/>
      <c r="AC107" s="34"/>
      <c r="AD107" s="50"/>
      <c r="AE107" s="34"/>
      <c r="AF107" s="34"/>
      <c r="AG107" s="34"/>
      <c r="AH107" s="34"/>
      <c r="AI107" s="50"/>
      <c r="AJ107" s="50"/>
      <c r="AK107" s="50"/>
      <c r="AL107" s="50"/>
      <c r="AM107" s="50"/>
      <c r="AN107" s="50"/>
    </row>
    <row r="108" ht="15.75" customHeight="1">
      <c r="A108" s="33">
        <v>105.0</v>
      </c>
      <c r="B108" s="34"/>
      <c r="C108" s="50"/>
      <c r="D108" s="34"/>
      <c r="E108" s="34"/>
      <c r="F108" s="34"/>
      <c r="G108" s="34"/>
      <c r="H108" s="34"/>
      <c r="I108" s="34"/>
      <c r="J108" s="50"/>
      <c r="K108" s="34"/>
      <c r="L108" s="34"/>
      <c r="M108" s="34"/>
      <c r="N108" s="34"/>
      <c r="O108" s="50"/>
      <c r="P108" s="34"/>
      <c r="Q108" s="34"/>
      <c r="R108" s="34"/>
      <c r="S108" s="34"/>
      <c r="T108" s="50"/>
      <c r="U108" s="34"/>
      <c r="V108" s="34"/>
      <c r="W108" s="34"/>
      <c r="X108" s="34"/>
      <c r="Y108" s="50"/>
      <c r="Z108" s="34"/>
      <c r="AA108" s="34"/>
      <c r="AB108" s="34"/>
      <c r="AC108" s="34"/>
      <c r="AD108" s="50"/>
      <c r="AE108" s="34"/>
      <c r="AF108" s="34"/>
      <c r="AG108" s="34"/>
      <c r="AH108" s="34"/>
      <c r="AI108" s="50"/>
      <c r="AJ108" s="50"/>
      <c r="AK108" s="50"/>
      <c r="AL108" s="50"/>
      <c r="AM108" s="50"/>
      <c r="AN108" s="50"/>
    </row>
    <row r="109" ht="15.75" customHeight="1">
      <c r="A109" s="33">
        <v>106.0</v>
      </c>
      <c r="B109" s="34"/>
      <c r="C109" s="50"/>
      <c r="D109" s="34"/>
      <c r="E109" s="34"/>
      <c r="F109" s="34"/>
      <c r="G109" s="34"/>
      <c r="H109" s="34"/>
      <c r="I109" s="34"/>
      <c r="J109" s="50"/>
      <c r="K109" s="34"/>
      <c r="L109" s="34"/>
      <c r="M109" s="34"/>
      <c r="N109" s="34"/>
      <c r="O109" s="50"/>
      <c r="P109" s="34"/>
      <c r="Q109" s="34"/>
      <c r="R109" s="34"/>
      <c r="S109" s="34"/>
      <c r="T109" s="50"/>
      <c r="U109" s="34"/>
      <c r="V109" s="34"/>
      <c r="W109" s="34"/>
      <c r="X109" s="34"/>
      <c r="Y109" s="50"/>
      <c r="Z109" s="34"/>
      <c r="AA109" s="34"/>
      <c r="AB109" s="34"/>
      <c r="AC109" s="34"/>
      <c r="AD109" s="50"/>
      <c r="AE109" s="34"/>
      <c r="AF109" s="34"/>
      <c r="AG109" s="34"/>
      <c r="AH109" s="34"/>
      <c r="AI109" s="50"/>
      <c r="AJ109" s="50"/>
      <c r="AK109" s="50"/>
      <c r="AL109" s="50"/>
      <c r="AM109" s="50"/>
      <c r="AN109" s="50"/>
    </row>
    <row r="110" ht="15.75" customHeight="1">
      <c r="A110" s="33">
        <v>107.0</v>
      </c>
      <c r="B110" s="34"/>
      <c r="C110" s="50"/>
      <c r="D110" s="34"/>
      <c r="E110" s="34"/>
      <c r="F110" s="34"/>
      <c r="G110" s="34"/>
      <c r="H110" s="34"/>
      <c r="I110" s="34"/>
      <c r="J110" s="50"/>
      <c r="K110" s="34"/>
      <c r="L110" s="34"/>
      <c r="M110" s="34"/>
      <c r="N110" s="34"/>
      <c r="O110" s="50"/>
      <c r="P110" s="34"/>
      <c r="Q110" s="34"/>
      <c r="R110" s="34"/>
      <c r="S110" s="34"/>
      <c r="T110" s="50"/>
      <c r="U110" s="34"/>
      <c r="V110" s="34"/>
      <c r="W110" s="34"/>
      <c r="X110" s="34"/>
      <c r="Y110" s="50"/>
      <c r="Z110" s="34"/>
      <c r="AA110" s="34"/>
      <c r="AB110" s="34"/>
      <c r="AC110" s="34"/>
      <c r="AD110" s="50"/>
      <c r="AE110" s="34"/>
      <c r="AF110" s="34"/>
      <c r="AG110" s="34"/>
      <c r="AH110" s="34"/>
      <c r="AI110" s="50"/>
      <c r="AJ110" s="50"/>
      <c r="AK110" s="50"/>
      <c r="AL110" s="50"/>
      <c r="AM110" s="50"/>
      <c r="AN110" s="50"/>
    </row>
    <row r="111" ht="15.75" customHeight="1">
      <c r="A111" s="33">
        <v>108.0</v>
      </c>
      <c r="B111" s="34"/>
      <c r="C111" s="50"/>
      <c r="D111" s="34"/>
      <c r="E111" s="34"/>
      <c r="F111" s="34"/>
      <c r="G111" s="34"/>
      <c r="H111" s="34"/>
      <c r="I111" s="34"/>
      <c r="J111" s="50"/>
      <c r="K111" s="34"/>
      <c r="L111" s="34"/>
      <c r="M111" s="34"/>
      <c r="N111" s="34"/>
      <c r="O111" s="50"/>
      <c r="P111" s="34"/>
      <c r="Q111" s="34"/>
      <c r="R111" s="34"/>
      <c r="S111" s="34"/>
      <c r="T111" s="50"/>
      <c r="U111" s="34"/>
      <c r="V111" s="34"/>
      <c r="W111" s="34"/>
      <c r="X111" s="34"/>
      <c r="Y111" s="50"/>
      <c r="Z111" s="34"/>
      <c r="AA111" s="34"/>
      <c r="AB111" s="34"/>
      <c r="AC111" s="34"/>
      <c r="AD111" s="50"/>
      <c r="AE111" s="34"/>
      <c r="AF111" s="34"/>
      <c r="AG111" s="34"/>
      <c r="AH111" s="34"/>
      <c r="AI111" s="50"/>
      <c r="AJ111" s="50"/>
      <c r="AK111" s="50"/>
      <c r="AL111" s="50"/>
      <c r="AM111" s="50"/>
      <c r="AN111" s="50"/>
    </row>
    <row r="112" ht="15.75" customHeight="1">
      <c r="A112" s="33">
        <v>109.0</v>
      </c>
      <c r="B112" s="34"/>
      <c r="C112" s="50"/>
      <c r="D112" s="34"/>
      <c r="E112" s="34"/>
      <c r="F112" s="34"/>
      <c r="G112" s="34"/>
      <c r="H112" s="34"/>
      <c r="I112" s="34"/>
      <c r="J112" s="50"/>
      <c r="K112" s="34"/>
      <c r="L112" s="34"/>
      <c r="M112" s="34"/>
      <c r="N112" s="34"/>
      <c r="O112" s="50"/>
      <c r="P112" s="34"/>
      <c r="Q112" s="34"/>
      <c r="R112" s="34"/>
      <c r="S112" s="34"/>
      <c r="T112" s="50"/>
      <c r="U112" s="34"/>
      <c r="V112" s="34"/>
      <c r="W112" s="34"/>
      <c r="X112" s="34"/>
      <c r="Y112" s="50"/>
      <c r="Z112" s="34"/>
      <c r="AA112" s="34"/>
      <c r="AB112" s="34"/>
      <c r="AC112" s="34"/>
      <c r="AD112" s="50"/>
      <c r="AE112" s="34"/>
      <c r="AF112" s="34"/>
      <c r="AG112" s="34"/>
      <c r="AH112" s="34"/>
      <c r="AI112" s="50"/>
      <c r="AJ112" s="50"/>
      <c r="AK112" s="50"/>
      <c r="AL112" s="50"/>
      <c r="AM112" s="50"/>
      <c r="AN112" s="50"/>
    </row>
    <row r="113" ht="15.75" customHeight="1">
      <c r="A113" s="33">
        <v>110.0</v>
      </c>
      <c r="B113" s="34"/>
      <c r="C113" s="50"/>
      <c r="D113" s="34"/>
      <c r="E113" s="34"/>
      <c r="F113" s="34"/>
      <c r="G113" s="34"/>
      <c r="H113" s="34"/>
      <c r="I113" s="34"/>
      <c r="J113" s="50"/>
      <c r="K113" s="34"/>
      <c r="L113" s="34"/>
      <c r="M113" s="34"/>
      <c r="N113" s="34"/>
      <c r="O113" s="50"/>
      <c r="P113" s="34"/>
      <c r="Q113" s="34"/>
      <c r="R113" s="34"/>
      <c r="S113" s="34"/>
      <c r="T113" s="50"/>
      <c r="U113" s="34"/>
      <c r="V113" s="34"/>
      <c r="W113" s="34"/>
      <c r="X113" s="34"/>
      <c r="Y113" s="50"/>
      <c r="Z113" s="34"/>
      <c r="AA113" s="34"/>
      <c r="AB113" s="34"/>
      <c r="AC113" s="34"/>
      <c r="AD113" s="50"/>
      <c r="AE113" s="34"/>
      <c r="AF113" s="34"/>
      <c r="AG113" s="34"/>
      <c r="AH113" s="34"/>
      <c r="AI113" s="50"/>
      <c r="AJ113" s="50"/>
      <c r="AK113" s="50"/>
      <c r="AL113" s="50"/>
      <c r="AM113" s="50"/>
      <c r="AN113" s="50"/>
    </row>
    <row r="114" ht="15.75" customHeight="1">
      <c r="A114" s="33">
        <v>111.0</v>
      </c>
      <c r="B114" s="34"/>
      <c r="C114" s="50"/>
      <c r="D114" s="34"/>
      <c r="E114" s="34"/>
      <c r="F114" s="34"/>
      <c r="G114" s="34"/>
      <c r="H114" s="34"/>
      <c r="I114" s="34"/>
      <c r="J114" s="50"/>
      <c r="K114" s="34"/>
      <c r="L114" s="34"/>
      <c r="M114" s="34"/>
      <c r="N114" s="34"/>
      <c r="O114" s="50"/>
      <c r="P114" s="34"/>
      <c r="Q114" s="34"/>
      <c r="R114" s="34"/>
      <c r="S114" s="34"/>
      <c r="T114" s="50"/>
      <c r="U114" s="34"/>
      <c r="V114" s="34"/>
      <c r="W114" s="34"/>
      <c r="X114" s="34"/>
      <c r="Y114" s="50"/>
      <c r="Z114" s="34"/>
      <c r="AA114" s="34"/>
      <c r="AB114" s="34"/>
      <c r="AC114" s="34"/>
      <c r="AD114" s="50"/>
      <c r="AE114" s="34"/>
      <c r="AF114" s="34"/>
      <c r="AG114" s="34"/>
      <c r="AH114" s="34"/>
      <c r="AI114" s="50"/>
      <c r="AJ114" s="50"/>
      <c r="AK114" s="50"/>
      <c r="AL114" s="50"/>
      <c r="AM114" s="50"/>
      <c r="AN114" s="50"/>
    </row>
    <row r="115" ht="15.75" customHeight="1">
      <c r="A115" s="33">
        <v>112.0</v>
      </c>
      <c r="B115" s="34"/>
      <c r="C115" s="50"/>
      <c r="D115" s="34"/>
      <c r="E115" s="34"/>
      <c r="F115" s="34"/>
      <c r="G115" s="34"/>
      <c r="H115" s="34"/>
      <c r="I115" s="34"/>
      <c r="J115" s="50"/>
      <c r="K115" s="34"/>
      <c r="L115" s="34"/>
      <c r="M115" s="34"/>
      <c r="N115" s="34"/>
      <c r="O115" s="50"/>
      <c r="P115" s="34"/>
      <c r="Q115" s="34"/>
      <c r="R115" s="34"/>
      <c r="S115" s="34"/>
      <c r="T115" s="50"/>
      <c r="U115" s="34"/>
      <c r="V115" s="34"/>
      <c r="W115" s="34"/>
      <c r="X115" s="34"/>
      <c r="Y115" s="50"/>
      <c r="Z115" s="34"/>
      <c r="AA115" s="34"/>
      <c r="AB115" s="34"/>
      <c r="AC115" s="34"/>
      <c r="AD115" s="50"/>
      <c r="AE115" s="34"/>
      <c r="AF115" s="34"/>
      <c r="AG115" s="34"/>
      <c r="AH115" s="34"/>
      <c r="AI115" s="50"/>
      <c r="AJ115" s="50"/>
      <c r="AK115" s="50"/>
      <c r="AL115" s="50"/>
      <c r="AM115" s="50"/>
      <c r="AN115" s="50"/>
    </row>
    <row r="116" ht="15.75" customHeight="1">
      <c r="A116" s="33">
        <v>113.0</v>
      </c>
      <c r="B116" s="34"/>
      <c r="C116" s="50"/>
      <c r="D116" s="34"/>
      <c r="E116" s="34"/>
      <c r="F116" s="34"/>
      <c r="G116" s="34"/>
      <c r="H116" s="34"/>
      <c r="I116" s="34"/>
      <c r="J116" s="50"/>
      <c r="K116" s="34"/>
      <c r="L116" s="34"/>
      <c r="M116" s="34"/>
      <c r="N116" s="34"/>
      <c r="O116" s="50"/>
      <c r="P116" s="34"/>
      <c r="Q116" s="34"/>
      <c r="R116" s="34"/>
      <c r="S116" s="34"/>
      <c r="T116" s="50"/>
      <c r="U116" s="34"/>
      <c r="V116" s="34"/>
      <c r="W116" s="34"/>
      <c r="X116" s="34"/>
      <c r="Y116" s="50"/>
      <c r="Z116" s="34"/>
      <c r="AA116" s="34"/>
      <c r="AB116" s="34"/>
      <c r="AC116" s="34"/>
      <c r="AD116" s="50"/>
      <c r="AE116" s="34"/>
      <c r="AF116" s="34"/>
      <c r="AG116" s="34"/>
      <c r="AH116" s="34"/>
      <c r="AI116" s="50"/>
      <c r="AJ116" s="50"/>
      <c r="AK116" s="50"/>
      <c r="AL116" s="50"/>
      <c r="AM116" s="50"/>
      <c r="AN116" s="50"/>
    </row>
    <row r="117" ht="15.75" customHeight="1">
      <c r="A117" s="33">
        <v>114.0</v>
      </c>
      <c r="B117" s="34"/>
      <c r="C117" s="50"/>
      <c r="D117" s="34"/>
      <c r="E117" s="34"/>
      <c r="F117" s="34"/>
      <c r="G117" s="34"/>
      <c r="H117" s="34"/>
      <c r="I117" s="34"/>
      <c r="J117" s="50"/>
      <c r="K117" s="34"/>
      <c r="L117" s="34"/>
      <c r="M117" s="34"/>
      <c r="N117" s="34"/>
      <c r="O117" s="50"/>
      <c r="P117" s="34"/>
      <c r="Q117" s="34"/>
      <c r="R117" s="34"/>
      <c r="S117" s="34"/>
      <c r="T117" s="50"/>
      <c r="U117" s="34"/>
      <c r="V117" s="34"/>
      <c r="W117" s="34"/>
      <c r="X117" s="34"/>
      <c r="Y117" s="50"/>
      <c r="Z117" s="34"/>
      <c r="AA117" s="34"/>
      <c r="AB117" s="34"/>
      <c r="AC117" s="34"/>
      <c r="AD117" s="50"/>
      <c r="AE117" s="34"/>
      <c r="AF117" s="34"/>
      <c r="AG117" s="34"/>
      <c r="AH117" s="34"/>
      <c r="AI117" s="50"/>
      <c r="AJ117" s="50"/>
      <c r="AK117" s="50"/>
      <c r="AL117" s="50"/>
      <c r="AM117" s="50"/>
      <c r="AN117" s="50"/>
    </row>
    <row r="118" ht="15.75" customHeight="1">
      <c r="A118" s="33">
        <v>115.0</v>
      </c>
      <c r="B118" s="34"/>
      <c r="C118" s="50"/>
      <c r="D118" s="34"/>
      <c r="E118" s="34"/>
      <c r="F118" s="34"/>
      <c r="G118" s="34"/>
      <c r="H118" s="34"/>
      <c r="I118" s="34"/>
      <c r="J118" s="50"/>
      <c r="K118" s="34"/>
      <c r="L118" s="34"/>
      <c r="M118" s="34"/>
      <c r="N118" s="34"/>
      <c r="O118" s="50"/>
      <c r="P118" s="34"/>
      <c r="Q118" s="34"/>
      <c r="R118" s="34"/>
      <c r="S118" s="34"/>
      <c r="T118" s="50"/>
      <c r="U118" s="34"/>
      <c r="V118" s="34"/>
      <c r="W118" s="34"/>
      <c r="X118" s="34"/>
      <c r="Y118" s="50"/>
      <c r="Z118" s="34"/>
      <c r="AA118" s="34"/>
      <c r="AB118" s="34"/>
      <c r="AC118" s="34"/>
      <c r="AD118" s="50"/>
      <c r="AE118" s="34"/>
      <c r="AF118" s="34"/>
      <c r="AG118" s="34"/>
      <c r="AH118" s="34"/>
      <c r="AI118" s="50"/>
      <c r="AJ118" s="50"/>
      <c r="AK118" s="50"/>
      <c r="AL118" s="50"/>
      <c r="AM118" s="50"/>
      <c r="AN118" s="50"/>
    </row>
    <row r="119" ht="15.75" customHeight="1">
      <c r="A119" s="33">
        <v>116.0</v>
      </c>
      <c r="B119" s="34"/>
      <c r="C119" s="50"/>
      <c r="D119" s="34"/>
      <c r="E119" s="34"/>
      <c r="F119" s="34"/>
      <c r="G119" s="34"/>
      <c r="H119" s="34"/>
      <c r="I119" s="34"/>
      <c r="J119" s="50"/>
      <c r="K119" s="34"/>
      <c r="L119" s="34"/>
      <c r="M119" s="34"/>
      <c r="N119" s="34"/>
      <c r="O119" s="50"/>
      <c r="P119" s="34"/>
      <c r="Q119" s="34"/>
      <c r="R119" s="34"/>
      <c r="S119" s="34"/>
      <c r="T119" s="50"/>
      <c r="U119" s="34"/>
      <c r="V119" s="34"/>
      <c r="W119" s="34"/>
      <c r="X119" s="34"/>
      <c r="Y119" s="50"/>
      <c r="Z119" s="34"/>
      <c r="AA119" s="34"/>
      <c r="AB119" s="34"/>
      <c r="AC119" s="34"/>
      <c r="AD119" s="50"/>
      <c r="AE119" s="34"/>
      <c r="AF119" s="34"/>
      <c r="AG119" s="34"/>
      <c r="AH119" s="34"/>
      <c r="AI119" s="50"/>
      <c r="AJ119" s="50"/>
      <c r="AK119" s="50"/>
      <c r="AL119" s="50"/>
      <c r="AM119" s="50"/>
      <c r="AN119" s="50"/>
    </row>
    <row r="120" ht="15.75" customHeight="1">
      <c r="A120" s="33">
        <v>117.0</v>
      </c>
      <c r="B120" s="34"/>
      <c r="C120" s="50"/>
      <c r="D120" s="34"/>
      <c r="E120" s="34"/>
      <c r="F120" s="34"/>
      <c r="G120" s="34"/>
      <c r="H120" s="34"/>
      <c r="I120" s="34"/>
      <c r="J120" s="50"/>
      <c r="K120" s="34"/>
      <c r="L120" s="34"/>
      <c r="M120" s="34"/>
      <c r="N120" s="34"/>
      <c r="O120" s="50"/>
      <c r="P120" s="34"/>
      <c r="Q120" s="34"/>
      <c r="R120" s="34"/>
      <c r="S120" s="34"/>
      <c r="T120" s="50"/>
      <c r="U120" s="34"/>
      <c r="V120" s="34"/>
      <c r="W120" s="34"/>
      <c r="X120" s="34"/>
      <c r="Y120" s="50"/>
      <c r="Z120" s="34"/>
      <c r="AA120" s="34"/>
      <c r="AB120" s="34"/>
      <c r="AC120" s="34"/>
      <c r="AD120" s="50"/>
      <c r="AE120" s="34"/>
      <c r="AF120" s="34"/>
      <c r="AG120" s="34"/>
      <c r="AH120" s="34"/>
      <c r="AI120" s="50"/>
      <c r="AJ120" s="50"/>
      <c r="AK120" s="50"/>
      <c r="AL120" s="50"/>
      <c r="AM120" s="50"/>
      <c r="AN120" s="50"/>
    </row>
    <row r="121" ht="15.75" customHeight="1">
      <c r="A121" s="33">
        <v>118.0</v>
      </c>
      <c r="B121" s="34"/>
      <c r="C121" s="50"/>
      <c r="D121" s="34"/>
      <c r="E121" s="34"/>
      <c r="F121" s="34"/>
      <c r="G121" s="34"/>
      <c r="H121" s="34"/>
      <c r="I121" s="34"/>
      <c r="J121" s="50"/>
      <c r="K121" s="34"/>
      <c r="L121" s="34"/>
      <c r="M121" s="34"/>
      <c r="N121" s="34"/>
      <c r="O121" s="50"/>
      <c r="P121" s="34"/>
      <c r="Q121" s="34"/>
      <c r="R121" s="34"/>
      <c r="S121" s="34"/>
      <c r="T121" s="50"/>
      <c r="U121" s="34"/>
      <c r="V121" s="34"/>
      <c r="W121" s="34"/>
      <c r="X121" s="34"/>
      <c r="Y121" s="50"/>
      <c r="Z121" s="34"/>
      <c r="AA121" s="34"/>
      <c r="AB121" s="34"/>
      <c r="AC121" s="34"/>
      <c r="AD121" s="50"/>
      <c r="AE121" s="34"/>
      <c r="AF121" s="34"/>
      <c r="AG121" s="34"/>
      <c r="AH121" s="34"/>
      <c r="AI121" s="50"/>
      <c r="AJ121" s="50"/>
      <c r="AK121" s="50"/>
      <c r="AL121" s="50"/>
      <c r="AM121" s="50"/>
      <c r="AN121" s="50"/>
    </row>
    <row r="122" ht="15.75" customHeight="1">
      <c r="A122" s="33">
        <v>119.0</v>
      </c>
      <c r="B122" s="34"/>
      <c r="C122" s="50"/>
      <c r="D122" s="34"/>
      <c r="E122" s="34"/>
      <c r="F122" s="34"/>
      <c r="G122" s="34"/>
      <c r="H122" s="34"/>
      <c r="I122" s="34"/>
      <c r="J122" s="50"/>
      <c r="K122" s="34"/>
      <c r="L122" s="34"/>
      <c r="M122" s="34"/>
      <c r="N122" s="34"/>
      <c r="O122" s="50"/>
      <c r="P122" s="34"/>
      <c r="Q122" s="34"/>
      <c r="R122" s="34"/>
      <c r="S122" s="34"/>
      <c r="T122" s="50"/>
      <c r="U122" s="34"/>
      <c r="V122" s="34"/>
      <c r="W122" s="34"/>
      <c r="X122" s="34"/>
      <c r="Y122" s="50"/>
      <c r="Z122" s="34"/>
      <c r="AA122" s="34"/>
      <c r="AB122" s="34"/>
      <c r="AC122" s="34"/>
      <c r="AD122" s="50"/>
      <c r="AE122" s="34"/>
      <c r="AF122" s="34"/>
      <c r="AG122" s="34"/>
      <c r="AH122" s="34"/>
      <c r="AI122" s="50"/>
      <c r="AJ122" s="50"/>
      <c r="AK122" s="50"/>
      <c r="AL122" s="50"/>
      <c r="AM122" s="50"/>
      <c r="AN122" s="50"/>
    </row>
    <row r="123" ht="15.75" customHeight="1">
      <c r="A123" s="33">
        <v>120.0</v>
      </c>
      <c r="B123" s="34"/>
      <c r="C123" s="50"/>
      <c r="D123" s="34"/>
      <c r="E123" s="34"/>
      <c r="F123" s="34"/>
      <c r="G123" s="34"/>
      <c r="H123" s="34"/>
      <c r="I123" s="34"/>
      <c r="J123" s="50"/>
      <c r="K123" s="34"/>
      <c r="L123" s="34"/>
      <c r="M123" s="34"/>
      <c r="N123" s="34"/>
      <c r="O123" s="50"/>
      <c r="P123" s="34"/>
      <c r="Q123" s="34"/>
      <c r="R123" s="34"/>
      <c r="S123" s="34"/>
      <c r="T123" s="50"/>
      <c r="U123" s="34"/>
      <c r="V123" s="34"/>
      <c r="W123" s="34"/>
      <c r="X123" s="34"/>
      <c r="Y123" s="50"/>
      <c r="Z123" s="34"/>
      <c r="AA123" s="34"/>
      <c r="AB123" s="34"/>
      <c r="AC123" s="34"/>
      <c r="AD123" s="50"/>
      <c r="AE123" s="34"/>
      <c r="AF123" s="34"/>
      <c r="AG123" s="34"/>
      <c r="AH123" s="34"/>
      <c r="AI123" s="50"/>
      <c r="AJ123" s="50"/>
      <c r="AK123" s="50"/>
      <c r="AL123" s="50"/>
      <c r="AM123" s="50"/>
      <c r="AN123" s="50"/>
    </row>
    <row r="124" ht="15.75" customHeight="1">
      <c r="A124" s="33">
        <v>121.0</v>
      </c>
      <c r="B124" s="34"/>
      <c r="C124" s="50"/>
      <c r="D124" s="34"/>
      <c r="E124" s="34"/>
      <c r="F124" s="34"/>
      <c r="G124" s="34"/>
      <c r="H124" s="34"/>
      <c r="I124" s="34"/>
      <c r="J124" s="50"/>
      <c r="K124" s="34"/>
      <c r="L124" s="34"/>
      <c r="M124" s="34"/>
      <c r="N124" s="34"/>
      <c r="O124" s="50"/>
      <c r="P124" s="34"/>
      <c r="Q124" s="34"/>
      <c r="R124" s="34"/>
      <c r="S124" s="34"/>
      <c r="T124" s="50"/>
      <c r="U124" s="34"/>
      <c r="V124" s="34"/>
      <c r="W124" s="34"/>
      <c r="X124" s="34"/>
      <c r="Y124" s="50"/>
      <c r="Z124" s="34"/>
      <c r="AA124" s="34"/>
      <c r="AB124" s="34"/>
      <c r="AC124" s="34"/>
      <c r="AD124" s="50"/>
      <c r="AE124" s="34"/>
      <c r="AF124" s="34"/>
      <c r="AG124" s="34"/>
      <c r="AH124" s="34"/>
      <c r="AI124" s="50"/>
      <c r="AJ124" s="50"/>
      <c r="AK124" s="50"/>
      <c r="AL124" s="50"/>
      <c r="AM124" s="50"/>
      <c r="AN124" s="50"/>
    </row>
    <row r="125" ht="15.75" customHeight="1">
      <c r="A125" s="33">
        <v>122.0</v>
      </c>
      <c r="B125" s="34"/>
      <c r="C125" s="50"/>
      <c r="D125" s="34"/>
      <c r="E125" s="34"/>
      <c r="F125" s="34"/>
      <c r="G125" s="34"/>
      <c r="H125" s="34"/>
      <c r="I125" s="34"/>
      <c r="J125" s="50"/>
      <c r="K125" s="34"/>
      <c r="L125" s="34"/>
      <c r="M125" s="34"/>
      <c r="N125" s="34"/>
      <c r="O125" s="50"/>
      <c r="P125" s="34"/>
      <c r="Q125" s="34"/>
      <c r="R125" s="34"/>
      <c r="S125" s="34"/>
      <c r="T125" s="50"/>
      <c r="U125" s="34"/>
      <c r="V125" s="34"/>
      <c r="W125" s="34"/>
      <c r="X125" s="34"/>
      <c r="Y125" s="50"/>
      <c r="Z125" s="34"/>
      <c r="AA125" s="34"/>
      <c r="AB125" s="34"/>
      <c r="AC125" s="34"/>
      <c r="AD125" s="50"/>
      <c r="AE125" s="34"/>
      <c r="AF125" s="34"/>
      <c r="AG125" s="34"/>
      <c r="AH125" s="34"/>
      <c r="AI125" s="50"/>
      <c r="AJ125" s="50"/>
      <c r="AK125" s="50"/>
      <c r="AL125" s="50"/>
      <c r="AM125" s="50"/>
      <c r="AN125" s="50"/>
    </row>
    <row r="126" ht="15.75" customHeight="1">
      <c r="A126" s="33">
        <v>123.0</v>
      </c>
      <c r="B126" s="34"/>
      <c r="C126" s="50"/>
      <c r="D126" s="34"/>
      <c r="E126" s="34"/>
      <c r="F126" s="34"/>
      <c r="G126" s="34"/>
      <c r="H126" s="34"/>
      <c r="I126" s="34"/>
      <c r="J126" s="50"/>
      <c r="K126" s="34"/>
      <c r="L126" s="34"/>
      <c r="M126" s="34"/>
      <c r="N126" s="34"/>
      <c r="O126" s="50"/>
      <c r="P126" s="34"/>
      <c r="Q126" s="34"/>
      <c r="R126" s="34"/>
      <c r="S126" s="34"/>
      <c r="T126" s="50"/>
      <c r="U126" s="34"/>
      <c r="V126" s="34"/>
      <c r="W126" s="34"/>
      <c r="X126" s="34"/>
      <c r="Y126" s="50"/>
      <c r="Z126" s="34"/>
      <c r="AA126" s="34"/>
      <c r="AB126" s="34"/>
      <c r="AC126" s="34"/>
      <c r="AD126" s="50"/>
      <c r="AE126" s="34"/>
      <c r="AF126" s="34"/>
      <c r="AG126" s="34"/>
      <c r="AH126" s="34"/>
      <c r="AI126" s="50"/>
      <c r="AJ126" s="50"/>
      <c r="AK126" s="50"/>
      <c r="AL126" s="50"/>
      <c r="AM126" s="50"/>
      <c r="AN126" s="50"/>
    </row>
    <row r="127" ht="15.75" customHeight="1">
      <c r="A127" s="33">
        <v>124.0</v>
      </c>
      <c r="B127" s="34"/>
      <c r="C127" s="50"/>
      <c r="D127" s="34"/>
      <c r="E127" s="34"/>
      <c r="F127" s="34"/>
      <c r="G127" s="34"/>
      <c r="H127" s="34"/>
      <c r="I127" s="34"/>
      <c r="J127" s="50"/>
      <c r="K127" s="34"/>
      <c r="L127" s="34"/>
      <c r="M127" s="34"/>
      <c r="N127" s="34"/>
      <c r="O127" s="50"/>
      <c r="P127" s="34"/>
      <c r="Q127" s="34"/>
      <c r="R127" s="34"/>
      <c r="S127" s="34"/>
      <c r="T127" s="50"/>
      <c r="U127" s="34"/>
      <c r="V127" s="34"/>
      <c r="W127" s="34"/>
      <c r="X127" s="34"/>
      <c r="Y127" s="50"/>
      <c r="Z127" s="34"/>
      <c r="AA127" s="34"/>
      <c r="AB127" s="34"/>
      <c r="AC127" s="34"/>
      <c r="AD127" s="50"/>
      <c r="AE127" s="34"/>
      <c r="AF127" s="34"/>
      <c r="AG127" s="34"/>
      <c r="AH127" s="34"/>
      <c r="AI127" s="50"/>
      <c r="AJ127" s="50"/>
      <c r="AK127" s="50"/>
      <c r="AL127" s="50"/>
      <c r="AM127" s="50"/>
      <c r="AN127" s="50"/>
    </row>
    <row r="128" ht="15.75" customHeight="1">
      <c r="A128" s="33">
        <v>125.0</v>
      </c>
      <c r="B128" s="34"/>
      <c r="C128" s="50"/>
      <c r="D128" s="34"/>
      <c r="E128" s="34"/>
      <c r="F128" s="34"/>
      <c r="G128" s="34"/>
      <c r="H128" s="34"/>
      <c r="I128" s="34"/>
      <c r="J128" s="50"/>
      <c r="K128" s="34"/>
      <c r="L128" s="34"/>
      <c r="M128" s="34"/>
      <c r="N128" s="34"/>
      <c r="O128" s="50"/>
      <c r="P128" s="34"/>
      <c r="Q128" s="34"/>
      <c r="R128" s="34"/>
      <c r="S128" s="34"/>
      <c r="T128" s="50"/>
      <c r="U128" s="34"/>
      <c r="V128" s="34"/>
      <c r="W128" s="34"/>
      <c r="X128" s="34"/>
      <c r="Y128" s="50"/>
      <c r="Z128" s="34"/>
      <c r="AA128" s="34"/>
      <c r="AB128" s="34"/>
      <c r="AC128" s="34"/>
      <c r="AD128" s="50"/>
      <c r="AE128" s="34"/>
      <c r="AF128" s="34"/>
      <c r="AG128" s="34"/>
      <c r="AH128" s="34"/>
      <c r="AI128" s="50"/>
      <c r="AJ128" s="50"/>
      <c r="AK128" s="50"/>
      <c r="AL128" s="50"/>
      <c r="AM128" s="50"/>
      <c r="AN128" s="50"/>
    </row>
    <row r="129" ht="15.75" customHeight="1">
      <c r="A129" s="33">
        <v>126.0</v>
      </c>
      <c r="B129" s="34"/>
      <c r="C129" s="50"/>
      <c r="D129" s="34"/>
      <c r="E129" s="34"/>
      <c r="F129" s="34"/>
      <c r="G129" s="34"/>
      <c r="H129" s="34"/>
      <c r="I129" s="34"/>
      <c r="J129" s="50"/>
      <c r="K129" s="34"/>
      <c r="L129" s="34"/>
      <c r="M129" s="34"/>
      <c r="N129" s="34"/>
      <c r="O129" s="50"/>
      <c r="P129" s="34"/>
      <c r="Q129" s="34"/>
      <c r="R129" s="34"/>
      <c r="S129" s="34"/>
      <c r="T129" s="50"/>
      <c r="U129" s="34"/>
      <c r="V129" s="34"/>
      <c r="W129" s="34"/>
      <c r="X129" s="34"/>
      <c r="Y129" s="50"/>
      <c r="Z129" s="34"/>
      <c r="AA129" s="34"/>
      <c r="AB129" s="34"/>
      <c r="AC129" s="34"/>
      <c r="AD129" s="50"/>
      <c r="AE129" s="34"/>
      <c r="AF129" s="34"/>
      <c r="AG129" s="34"/>
      <c r="AH129" s="34"/>
      <c r="AI129" s="50"/>
      <c r="AJ129" s="50"/>
      <c r="AK129" s="50"/>
      <c r="AL129" s="50"/>
      <c r="AM129" s="50"/>
      <c r="AN129" s="50"/>
    </row>
    <row r="130" ht="15.75" customHeight="1">
      <c r="A130" s="33">
        <v>127.0</v>
      </c>
      <c r="B130" s="34"/>
      <c r="C130" s="50"/>
      <c r="D130" s="34"/>
      <c r="E130" s="34"/>
      <c r="F130" s="34"/>
      <c r="G130" s="34"/>
      <c r="H130" s="34"/>
      <c r="I130" s="34"/>
      <c r="J130" s="50"/>
      <c r="K130" s="34"/>
      <c r="L130" s="34"/>
      <c r="M130" s="34"/>
      <c r="N130" s="34"/>
      <c r="O130" s="50"/>
      <c r="P130" s="34"/>
      <c r="Q130" s="34"/>
      <c r="R130" s="34"/>
      <c r="S130" s="34"/>
      <c r="T130" s="50"/>
      <c r="U130" s="34"/>
      <c r="V130" s="34"/>
      <c r="W130" s="34"/>
      <c r="X130" s="34"/>
      <c r="Y130" s="50"/>
      <c r="Z130" s="34"/>
      <c r="AA130" s="34"/>
      <c r="AB130" s="34"/>
      <c r="AC130" s="34"/>
      <c r="AD130" s="50"/>
      <c r="AE130" s="34"/>
      <c r="AF130" s="34"/>
      <c r="AG130" s="34"/>
      <c r="AH130" s="34"/>
      <c r="AI130" s="50"/>
      <c r="AJ130" s="50"/>
      <c r="AK130" s="50"/>
      <c r="AL130" s="50"/>
      <c r="AM130" s="50"/>
      <c r="AN130" s="50"/>
    </row>
    <row r="131" ht="15.75" customHeight="1">
      <c r="A131" s="33">
        <v>128.0</v>
      </c>
      <c r="B131" s="34"/>
      <c r="C131" s="50"/>
      <c r="D131" s="34"/>
      <c r="E131" s="34"/>
      <c r="F131" s="34"/>
      <c r="G131" s="34"/>
      <c r="H131" s="34"/>
      <c r="I131" s="34"/>
      <c r="J131" s="50"/>
      <c r="K131" s="34"/>
      <c r="L131" s="34"/>
      <c r="M131" s="34"/>
      <c r="N131" s="34"/>
      <c r="O131" s="50"/>
      <c r="P131" s="34"/>
      <c r="Q131" s="34"/>
      <c r="R131" s="34"/>
      <c r="S131" s="34"/>
      <c r="T131" s="50"/>
      <c r="U131" s="34"/>
      <c r="V131" s="34"/>
      <c r="W131" s="34"/>
      <c r="X131" s="34"/>
      <c r="Y131" s="50"/>
      <c r="Z131" s="34"/>
      <c r="AA131" s="34"/>
      <c r="AB131" s="34"/>
      <c r="AC131" s="34"/>
      <c r="AD131" s="50"/>
      <c r="AE131" s="34"/>
      <c r="AF131" s="34"/>
      <c r="AG131" s="34"/>
      <c r="AH131" s="34"/>
      <c r="AI131" s="50"/>
      <c r="AJ131" s="50"/>
      <c r="AK131" s="50"/>
      <c r="AL131" s="50"/>
      <c r="AM131" s="50"/>
      <c r="AN131" s="50"/>
    </row>
    <row r="132" ht="15.75" customHeight="1">
      <c r="A132" s="33">
        <v>129.0</v>
      </c>
      <c r="B132" s="34"/>
      <c r="C132" s="50"/>
      <c r="D132" s="34"/>
      <c r="E132" s="34"/>
      <c r="F132" s="34"/>
      <c r="G132" s="34"/>
      <c r="H132" s="34"/>
      <c r="I132" s="34"/>
      <c r="J132" s="50"/>
      <c r="K132" s="34"/>
      <c r="L132" s="34"/>
      <c r="M132" s="34"/>
      <c r="N132" s="34"/>
      <c r="O132" s="50"/>
      <c r="P132" s="34"/>
      <c r="Q132" s="34"/>
      <c r="R132" s="34"/>
      <c r="S132" s="34"/>
      <c r="T132" s="50"/>
      <c r="U132" s="34"/>
      <c r="V132" s="34"/>
      <c r="W132" s="34"/>
      <c r="X132" s="34"/>
      <c r="Y132" s="50"/>
      <c r="Z132" s="34"/>
      <c r="AA132" s="34"/>
      <c r="AB132" s="34"/>
      <c r="AC132" s="34"/>
      <c r="AD132" s="50"/>
      <c r="AE132" s="34"/>
      <c r="AF132" s="34"/>
      <c r="AG132" s="34"/>
      <c r="AH132" s="34"/>
      <c r="AI132" s="50"/>
      <c r="AJ132" s="50"/>
      <c r="AK132" s="50"/>
      <c r="AL132" s="50"/>
      <c r="AM132" s="50"/>
      <c r="AN132" s="50"/>
    </row>
    <row r="133" ht="15.75" customHeight="1">
      <c r="A133" s="33">
        <v>130.0</v>
      </c>
      <c r="B133" s="34"/>
      <c r="C133" s="50"/>
      <c r="D133" s="34"/>
      <c r="E133" s="34"/>
      <c r="F133" s="34"/>
      <c r="G133" s="34"/>
      <c r="H133" s="34"/>
      <c r="I133" s="34"/>
      <c r="J133" s="50"/>
      <c r="K133" s="34"/>
      <c r="L133" s="34"/>
      <c r="M133" s="34"/>
      <c r="N133" s="34"/>
      <c r="O133" s="50"/>
      <c r="P133" s="34"/>
      <c r="Q133" s="34"/>
      <c r="R133" s="34"/>
      <c r="S133" s="34"/>
      <c r="T133" s="50"/>
      <c r="U133" s="34"/>
      <c r="V133" s="34"/>
      <c r="W133" s="34"/>
      <c r="X133" s="34"/>
      <c r="Y133" s="50"/>
      <c r="Z133" s="34"/>
      <c r="AA133" s="34"/>
      <c r="AB133" s="34"/>
      <c r="AC133" s="34"/>
      <c r="AD133" s="50"/>
      <c r="AE133" s="34"/>
      <c r="AF133" s="34"/>
      <c r="AG133" s="34"/>
      <c r="AH133" s="34"/>
      <c r="AI133" s="50"/>
      <c r="AJ133" s="50"/>
      <c r="AK133" s="50"/>
      <c r="AL133" s="50"/>
      <c r="AM133" s="50"/>
      <c r="AN133" s="50"/>
    </row>
    <row r="134" ht="15.75" customHeight="1">
      <c r="A134" s="33">
        <v>131.0</v>
      </c>
      <c r="B134" s="34"/>
      <c r="C134" s="50"/>
      <c r="D134" s="34"/>
      <c r="E134" s="34"/>
      <c r="F134" s="34"/>
      <c r="G134" s="34"/>
      <c r="H134" s="34"/>
      <c r="I134" s="34"/>
      <c r="J134" s="50"/>
      <c r="K134" s="34"/>
      <c r="L134" s="34"/>
      <c r="M134" s="34"/>
      <c r="N134" s="34"/>
      <c r="O134" s="50"/>
      <c r="P134" s="34"/>
      <c r="Q134" s="34"/>
      <c r="R134" s="34"/>
      <c r="S134" s="34"/>
      <c r="T134" s="50"/>
      <c r="U134" s="34"/>
      <c r="V134" s="34"/>
      <c r="W134" s="34"/>
      <c r="X134" s="34"/>
      <c r="Y134" s="50"/>
      <c r="Z134" s="34"/>
      <c r="AA134" s="34"/>
      <c r="AB134" s="34"/>
      <c r="AC134" s="34"/>
      <c r="AD134" s="50"/>
      <c r="AE134" s="34"/>
      <c r="AF134" s="34"/>
      <c r="AG134" s="34"/>
      <c r="AH134" s="34"/>
      <c r="AI134" s="50"/>
      <c r="AJ134" s="50"/>
      <c r="AK134" s="50"/>
      <c r="AL134" s="50"/>
      <c r="AM134" s="50"/>
      <c r="AN134" s="50"/>
    </row>
    <row r="135" ht="15.75" customHeight="1">
      <c r="A135" s="33">
        <v>132.0</v>
      </c>
      <c r="B135" s="34"/>
      <c r="C135" s="50"/>
      <c r="D135" s="34"/>
      <c r="E135" s="34"/>
      <c r="F135" s="34"/>
      <c r="G135" s="34"/>
      <c r="H135" s="34"/>
      <c r="I135" s="34"/>
      <c r="J135" s="50"/>
      <c r="K135" s="34"/>
      <c r="L135" s="34"/>
      <c r="M135" s="34"/>
      <c r="N135" s="34"/>
      <c r="O135" s="50"/>
      <c r="P135" s="34"/>
      <c r="Q135" s="34"/>
      <c r="R135" s="34"/>
      <c r="S135" s="34"/>
      <c r="T135" s="50"/>
      <c r="U135" s="34"/>
      <c r="V135" s="34"/>
      <c r="W135" s="34"/>
      <c r="X135" s="34"/>
      <c r="Y135" s="50"/>
      <c r="Z135" s="34"/>
      <c r="AA135" s="34"/>
      <c r="AB135" s="34"/>
      <c r="AC135" s="34"/>
      <c r="AD135" s="50"/>
      <c r="AE135" s="34"/>
      <c r="AF135" s="34"/>
      <c r="AG135" s="34"/>
      <c r="AH135" s="34"/>
      <c r="AI135" s="50"/>
      <c r="AJ135" s="50"/>
      <c r="AK135" s="50"/>
      <c r="AL135" s="50"/>
      <c r="AM135" s="50"/>
      <c r="AN135" s="50"/>
    </row>
    <row r="136" ht="15.75" customHeight="1">
      <c r="A136" s="33">
        <v>133.0</v>
      </c>
      <c r="B136" s="34"/>
      <c r="C136" s="50"/>
      <c r="D136" s="34"/>
      <c r="E136" s="34"/>
      <c r="F136" s="34"/>
      <c r="G136" s="34"/>
      <c r="H136" s="34"/>
      <c r="I136" s="34"/>
      <c r="J136" s="50"/>
      <c r="K136" s="34"/>
      <c r="L136" s="34"/>
      <c r="M136" s="34"/>
      <c r="N136" s="34"/>
      <c r="O136" s="50"/>
      <c r="P136" s="34"/>
      <c r="Q136" s="34"/>
      <c r="R136" s="34"/>
      <c r="S136" s="34"/>
      <c r="T136" s="50"/>
      <c r="U136" s="34"/>
      <c r="V136" s="34"/>
      <c r="W136" s="34"/>
      <c r="X136" s="34"/>
      <c r="Y136" s="50"/>
      <c r="Z136" s="34"/>
      <c r="AA136" s="34"/>
      <c r="AB136" s="34"/>
      <c r="AC136" s="34"/>
      <c r="AD136" s="50"/>
      <c r="AE136" s="34"/>
      <c r="AF136" s="34"/>
      <c r="AG136" s="34"/>
      <c r="AH136" s="34"/>
      <c r="AI136" s="50"/>
      <c r="AJ136" s="50"/>
      <c r="AK136" s="50"/>
      <c r="AL136" s="50"/>
      <c r="AM136" s="50"/>
      <c r="AN136" s="50"/>
    </row>
    <row r="137" ht="15.75" customHeight="1">
      <c r="A137" s="33">
        <v>134.0</v>
      </c>
      <c r="B137" s="34"/>
      <c r="C137" s="50"/>
      <c r="D137" s="34"/>
      <c r="E137" s="34"/>
      <c r="F137" s="34"/>
      <c r="G137" s="34"/>
      <c r="H137" s="34"/>
      <c r="I137" s="34"/>
      <c r="J137" s="50"/>
      <c r="K137" s="34"/>
      <c r="L137" s="34"/>
      <c r="M137" s="34"/>
      <c r="N137" s="34"/>
      <c r="O137" s="50"/>
      <c r="P137" s="34"/>
      <c r="Q137" s="34"/>
      <c r="R137" s="34"/>
      <c r="S137" s="34"/>
      <c r="T137" s="50"/>
      <c r="U137" s="34"/>
      <c r="V137" s="34"/>
      <c r="W137" s="34"/>
      <c r="X137" s="34"/>
      <c r="Y137" s="50"/>
      <c r="Z137" s="34"/>
      <c r="AA137" s="34"/>
      <c r="AB137" s="34"/>
      <c r="AC137" s="34"/>
      <c r="AD137" s="50"/>
      <c r="AE137" s="34"/>
      <c r="AF137" s="34"/>
      <c r="AG137" s="34"/>
      <c r="AH137" s="34"/>
      <c r="AI137" s="50"/>
      <c r="AJ137" s="50"/>
      <c r="AK137" s="50"/>
      <c r="AL137" s="50"/>
      <c r="AM137" s="50"/>
      <c r="AN137" s="50"/>
    </row>
    <row r="138" ht="15.75" customHeight="1">
      <c r="A138" s="33">
        <v>135.0</v>
      </c>
      <c r="B138" s="34"/>
      <c r="C138" s="50"/>
      <c r="D138" s="34"/>
      <c r="E138" s="34"/>
      <c r="F138" s="34"/>
      <c r="G138" s="34"/>
      <c r="H138" s="34"/>
      <c r="I138" s="34"/>
      <c r="J138" s="50"/>
      <c r="K138" s="34"/>
      <c r="L138" s="34"/>
      <c r="M138" s="34"/>
      <c r="N138" s="34"/>
      <c r="O138" s="50"/>
      <c r="P138" s="34"/>
      <c r="Q138" s="34"/>
      <c r="R138" s="34"/>
      <c r="S138" s="34"/>
      <c r="T138" s="50"/>
      <c r="U138" s="34"/>
      <c r="V138" s="34"/>
      <c r="W138" s="34"/>
      <c r="X138" s="34"/>
      <c r="Y138" s="50"/>
      <c r="Z138" s="34"/>
      <c r="AA138" s="34"/>
      <c r="AB138" s="34"/>
      <c r="AC138" s="34"/>
      <c r="AD138" s="50"/>
      <c r="AE138" s="34"/>
      <c r="AF138" s="34"/>
      <c r="AG138" s="34"/>
      <c r="AH138" s="34"/>
      <c r="AI138" s="50"/>
      <c r="AJ138" s="50"/>
      <c r="AK138" s="50"/>
      <c r="AL138" s="50"/>
      <c r="AM138" s="50"/>
      <c r="AN138" s="50"/>
    </row>
    <row r="139" ht="15.75" customHeight="1">
      <c r="A139" s="33">
        <v>136.0</v>
      </c>
      <c r="B139" s="34"/>
      <c r="C139" s="50"/>
      <c r="D139" s="34"/>
      <c r="E139" s="34"/>
      <c r="F139" s="34"/>
      <c r="G139" s="34"/>
      <c r="H139" s="34"/>
      <c r="I139" s="34"/>
      <c r="J139" s="50"/>
      <c r="K139" s="34"/>
      <c r="L139" s="34"/>
      <c r="M139" s="34"/>
      <c r="N139" s="34"/>
      <c r="O139" s="50"/>
      <c r="P139" s="34"/>
      <c r="Q139" s="34"/>
      <c r="R139" s="34"/>
      <c r="S139" s="34"/>
      <c r="T139" s="50"/>
      <c r="U139" s="34"/>
      <c r="V139" s="34"/>
      <c r="W139" s="34"/>
      <c r="X139" s="34"/>
      <c r="Y139" s="50"/>
      <c r="Z139" s="34"/>
      <c r="AA139" s="34"/>
      <c r="AB139" s="34"/>
      <c r="AC139" s="34"/>
      <c r="AD139" s="50"/>
      <c r="AE139" s="34"/>
      <c r="AF139" s="34"/>
      <c r="AG139" s="34"/>
      <c r="AH139" s="34"/>
      <c r="AI139" s="50"/>
      <c r="AJ139" s="50"/>
      <c r="AK139" s="50"/>
      <c r="AL139" s="50"/>
      <c r="AM139" s="50"/>
      <c r="AN139" s="50"/>
    </row>
    <row r="140" ht="15.75" customHeight="1">
      <c r="A140" s="33">
        <v>137.0</v>
      </c>
      <c r="B140" s="34"/>
      <c r="C140" s="50"/>
      <c r="D140" s="34"/>
      <c r="E140" s="34"/>
      <c r="F140" s="34"/>
      <c r="G140" s="34"/>
      <c r="H140" s="34"/>
      <c r="I140" s="34"/>
      <c r="J140" s="50"/>
      <c r="K140" s="34"/>
      <c r="L140" s="34"/>
      <c r="M140" s="34"/>
      <c r="N140" s="34"/>
      <c r="O140" s="50"/>
      <c r="P140" s="34"/>
      <c r="Q140" s="34"/>
      <c r="R140" s="34"/>
      <c r="S140" s="34"/>
      <c r="T140" s="50"/>
      <c r="U140" s="34"/>
      <c r="V140" s="34"/>
      <c r="W140" s="34"/>
      <c r="X140" s="34"/>
      <c r="Y140" s="50"/>
      <c r="Z140" s="34"/>
      <c r="AA140" s="34"/>
      <c r="AB140" s="34"/>
      <c r="AC140" s="34"/>
      <c r="AD140" s="50"/>
      <c r="AE140" s="34"/>
      <c r="AF140" s="34"/>
      <c r="AG140" s="34"/>
      <c r="AH140" s="34"/>
      <c r="AI140" s="50"/>
      <c r="AJ140" s="50"/>
      <c r="AK140" s="50"/>
      <c r="AL140" s="50"/>
      <c r="AM140" s="50"/>
      <c r="AN140" s="50"/>
    </row>
    <row r="141" ht="15.75" customHeight="1">
      <c r="A141" s="33">
        <v>138.0</v>
      </c>
      <c r="B141" s="34"/>
      <c r="C141" s="50"/>
      <c r="D141" s="34"/>
      <c r="E141" s="34"/>
      <c r="F141" s="34"/>
      <c r="G141" s="34"/>
      <c r="H141" s="34"/>
      <c r="I141" s="34"/>
      <c r="J141" s="50"/>
      <c r="K141" s="34"/>
      <c r="L141" s="34"/>
      <c r="M141" s="34"/>
      <c r="N141" s="34"/>
      <c r="O141" s="50"/>
      <c r="P141" s="34"/>
      <c r="Q141" s="34"/>
      <c r="R141" s="34"/>
      <c r="S141" s="34"/>
      <c r="T141" s="50"/>
      <c r="U141" s="34"/>
      <c r="V141" s="34"/>
      <c r="W141" s="34"/>
      <c r="X141" s="34"/>
      <c r="Y141" s="50"/>
      <c r="Z141" s="34"/>
      <c r="AA141" s="34"/>
      <c r="AB141" s="34"/>
      <c r="AC141" s="34"/>
      <c r="AD141" s="50"/>
      <c r="AE141" s="34"/>
      <c r="AF141" s="34"/>
      <c r="AG141" s="34"/>
      <c r="AH141" s="34"/>
      <c r="AI141" s="50"/>
      <c r="AJ141" s="50"/>
      <c r="AK141" s="50"/>
      <c r="AL141" s="50"/>
      <c r="AM141" s="50"/>
      <c r="AN141" s="50"/>
    </row>
    <row r="142" ht="15.75" customHeight="1">
      <c r="A142" s="33">
        <v>139.0</v>
      </c>
      <c r="B142" s="34"/>
      <c r="C142" s="50"/>
      <c r="D142" s="34"/>
      <c r="E142" s="34"/>
      <c r="F142" s="34"/>
      <c r="G142" s="34"/>
      <c r="H142" s="34"/>
      <c r="I142" s="34"/>
      <c r="J142" s="50"/>
      <c r="K142" s="34"/>
      <c r="L142" s="34"/>
      <c r="M142" s="34"/>
      <c r="N142" s="34"/>
      <c r="O142" s="50"/>
      <c r="P142" s="34"/>
      <c r="Q142" s="34"/>
      <c r="R142" s="34"/>
      <c r="S142" s="34"/>
      <c r="T142" s="50"/>
      <c r="U142" s="34"/>
      <c r="V142" s="34"/>
      <c r="W142" s="34"/>
      <c r="X142" s="34"/>
      <c r="Y142" s="50"/>
      <c r="Z142" s="34"/>
      <c r="AA142" s="34"/>
      <c r="AB142" s="34"/>
      <c r="AC142" s="34"/>
      <c r="AD142" s="50"/>
      <c r="AE142" s="34"/>
      <c r="AF142" s="34"/>
      <c r="AG142" s="34"/>
      <c r="AH142" s="34"/>
      <c r="AI142" s="50"/>
      <c r="AJ142" s="50"/>
      <c r="AK142" s="50"/>
      <c r="AL142" s="50"/>
      <c r="AM142" s="50"/>
      <c r="AN142" s="50"/>
    </row>
    <row r="143" ht="15.75" customHeight="1">
      <c r="A143" s="33">
        <v>140.0</v>
      </c>
      <c r="B143" s="34"/>
      <c r="C143" s="50"/>
      <c r="D143" s="34"/>
      <c r="E143" s="34"/>
      <c r="F143" s="34"/>
      <c r="G143" s="34"/>
      <c r="H143" s="34"/>
      <c r="I143" s="34"/>
      <c r="J143" s="50"/>
      <c r="K143" s="34"/>
      <c r="L143" s="34"/>
      <c r="M143" s="34"/>
      <c r="N143" s="34"/>
      <c r="O143" s="50"/>
      <c r="P143" s="34"/>
      <c r="Q143" s="34"/>
      <c r="R143" s="34"/>
      <c r="S143" s="34"/>
      <c r="T143" s="50"/>
      <c r="U143" s="34"/>
      <c r="V143" s="34"/>
      <c r="W143" s="34"/>
      <c r="X143" s="34"/>
      <c r="Y143" s="50"/>
      <c r="Z143" s="34"/>
      <c r="AA143" s="34"/>
      <c r="AB143" s="34"/>
      <c r="AC143" s="34"/>
      <c r="AD143" s="50"/>
      <c r="AE143" s="34"/>
      <c r="AF143" s="34"/>
      <c r="AG143" s="34"/>
      <c r="AH143" s="34"/>
      <c r="AI143" s="50"/>
      <c r="AJ143" s="50"/>
      <c r="AK143" s="50"/>
      <c r="AL143" s="50"/>
      <c r="AM143" s="50"/>
      <c r="AN143" s="50"/>
    </row>
    <row r="144" ht="15.75" customHeight="1">
      <c r="A144" s="33">
        <v>141.0</v>
      </c>
      <c r="B144" s="34"/>
      <c r="C144" s="50"/>
      <c r="D144" s="34"/>
      <c r="E144" s="34"/>
      <c r="F144" s="34"/>
      <c r="G144" s="34"/>
      <c r="H144" s="34"/>
      <c r="I144" s="34"/>
      <c r="J144" s="50"/>
      <c r="K144" s="34"/>
      <c r="L144" s="34"/>
      <c r="M144" s="34"/>
      <c r="N144" s="34"/>
      <c r="O144" s="50"/>
      <c r="P144" s="34"/>
      <c r="Q144" s="34"/>
      <c r="R144" s="34"/>
      <c r="S144" s="34"/>
      <c r="T144" s="50"/>
      <c r="U144" s="34"/>
      <c r="V144" s="34"/>
      <c r="W144" s="34"/>
      <c r="X144" s="34"/>
      <c r="Y144" s="50"/>
      <c r="Z144" s="34"/>
      <c r="AA144" s="34"/>
      <c r="AB144" s="34"/>
      <c r="AC144" s="34"/>
      <c r="AD144" s="50"/>
      <c r="AE144" s="34"/>
      <c r="AF144" s="34"/>
      <c r="AG144" s="34"/>
      <c r="AH144" s="34"/>
      <c r="AI144" s="50"/>
      <c r="AJ144" s="50"/>
      <c r="AK144" s="50"/>
      <c r="AL144" s="50"/>
      <c r="AM144" s="50"/>
      <c r="AN144" s="50"/>
    </row>
    <row r="145" ht="15.75" customHeight="1">
      <c r="A145" s="33">
        <v>142.0</v>
      </c>
      <c r="B145" s="34"/>
      <c r="C145" s="50"/>
      <c r="D145" s="34"/>
      <c r="E145" s="34"/>
      <c r="F145" s="34"/>
      <c r="G145" s="34"/>
      <c r="H145" s="34"/>
      <c r="I145" s="34"/>
      <c r="J145" s="50"/>
      <c r="K145" s="34"/>
      <c r="L145" s="34"/>
      <c r="M145" s="34"/>
      <c r="N145" s="34"/>
      <c r="O145" s="50"/>
      <c r="P145" s="34"/>
      <c r="Q145" s="34"/>
      <c r="R145" s="34"/>
      <c r="S145" s="34"/>
      <c r="T145" s="50"/>
      <c r="U145" s="34"/>
      <c r="V145" s="34"/>
      <c r="W145" s="34"/>
      <c r="X145" s="34"/>
      <c r="Y145" s="50"/>
      <c r="Z145" s="34"/>
      <c r="AA145" s="34"/>
      <c r="AB145" s="34"/>
      <c r="AC145" s="34"/>
      <c r="AD145" s="50"/>
      <c r="AE145" s="34"/>
      <c r="AF145" s="34"/>
      <c r="AG145" s="34"/>
      <c r="AH145" s="34"/>
      <c r="AI145" s="50"/>
      <c r="AJ145" s="50"/>
      <c r="AK145" s="50"/>
      <c r="AL145" s="50"/>
      <c r="AM145" s="50"/>
      <c r="AN145" s="50"/>
    </row>
    <row r="146" ht="15.75" customHeight="1">
      <c r="A146" s="33">
        <v>143.0</v>
      </c>
      <c r="B146" s="34"/>
      <c r="C146" s="50"/>
      <c r="D146" s="34"/>
      <c r="E146" s="34"/>
      <c r="F146" s="34"/>
      <c r="G146" s="34"/>
      <c r="H146" s="34"/>
      <c r="I146" s="34"/>
      <c r="J146" s="50"/>
      <c r="K146" s="34"/>
      <c r="L146" s="34"/>
      <c r="M146" s="34"/>
      <c r="N146" s="34"/>
      <c r="O146" s="50"/>
      <c r="P146" s="34"/>
      <c r="Q146" s="34"/>
      <c r="R146" s="34"/>
      <c r="S146" s="34"/>
      <c r="T146" s="50"/>
      <c r="U146" s="34"/>
      <c r="V146" s="34"/>
      <c r="W146" s="34"/>
      <c r="X146" s="34"/>
      <c r="Y146" s="50"/>
      <c r="Z146" s="34"/>
      <c r="AA146" s="34"/>
      <c r="AB146" s="34"/>
      <c r="AC146" s="34"/>
      <c r="AD146" s="50"/>
      <c r="AE146" s="34"/>
      <c r="AF146" s="34"/>
      <c r="AG146" s="34"/>
      <c r="AH146" s="34"/>
      <c r="AI146" s="50"/>
      <c r="AJ146" s="50"/>
      <c r="AK146" s="50"/>
      <c r="AL146" s="50"/>
      <c r="AM146" s="50"/>
      <c r="AN146" s="50"/>
    </row>
    <row r="147" ht="15.75" customHeight="1">
      <c r="A147" s="33">
        <v>144.0</v>
      </c>
      <c r="B147" s="34"/>
      <c r="C147" s="50"/>
      <c r="D147" s="34"/>
      <c r="E147" s="34"/>
      <c r="F147" s="34"/>
      <c r="G147" s="34"/>
      <c r="H147" s="34"/>
      <c r="I147" s="34"/>
      <c r="J147" s="50"/>
      <c r="K147" s="34"/>
      <c r="L147" s="34"/>
      <c r="M147" s="34"/>
      <c r="N147" s="34"/>
      <c r="O147" s="50"/>
      <c r="P147" s="34"/>
      <c r="Q147" s="34"/>
      <c r="R147" s="34"/>
      <c r="S147" s="34"/>
      <c r="T147" s="50"/>
      <c r="U147" s="34"/>
      <c r="V147" s="34"/>
      <c r="W147" s="34"/>
      <c r="X147" s="34"/>
      <c r="Y147" s="50"/>
      <c r="Z147" s="34"/>
      <c r="AA147" s="34"/>
      <c r="AB147" s="34"/>
      <c r="AC147" s="34"/>
      <c r="AD147" s="50"/>
      <c r="AE147" s="34"/>
      <c r="AF147" s="34"/>
      <c r="AG147" s="34"/>
      <c r="AH147" s="34"/>
      <c r="AI147" s="50"/>
      <c r="AJ147" s="50"/>
      <c r="AK147" s="50"/>
      <c r="AL147" s="50"/>
      <c r="AM147" s="50"/>
      <c r="AN147" s="50"/>
    </row>
    <row r="148" ht="15.75" customHeight="1">
      <c r="A148" s="33">
        <v>145.0</v>
      </c>
      <c r="B148" s="34"/>
      <c r="C148" s="50"/>
      <c r="D148" s="34"/>
      <c r="E148" s="34"/>
      <c r="F148" s="34"/>
      <c r="G148" s="34"/>
      <c r="H148" s="34"/>
      <c r="I148" s="34"/>
      <c r="J148" s="50"/>
      <c r="K148" s="34"/>
      <c r="L148" s="34"/>
      <c r="M148" s="34"/>
      <c r="N148" s="34"/>
      <c r="O148" s="50"/>
      <c r="P148" s="34"/>
      <c r="Q148" s="34"/>
      <c r="R148" s="34"/>
      <c r="S148" s="34"/>
      <c r="T148" s="50"/>
      <c r="U148" s="34"/>
      <c r="V148" s="34"/>
      <c r="W148" s="34"/>
      <c r="X148" s="34"/>
      <c r="Y148" s="50"/>
      <c r="Z148" s="34"/>
      <c r="AA148" s="34"/>
      <c r="AB148" s="34"/>
      <c r="AC148" s="34"/>
      <c r="AD148" s="50"/>
      <c r="AE148" s="34"/>
      <c r="AF148" s="34"/>
      <c r="AG148" s="34"/>
      <c r="AH148" s="34"/>
      <c r="AI148" s="50"/>
      <c r="AJ148" s="50"/>
      <c r="AK148" s="50"/>
      <c r="AL148" s="50"/>
      <c r="AM148" s="50"/>
      <c r="AN148" s="50"/>
    </row>
    <row r="149" ht="15.75" customHeight="1">
      <c r="A149" s="33">
        <v>146.0</v>
      </c>
      <c r="B149" s="34"/>
      <c r="C149" s="50"/>
      <c r="D149" s="34"/>
      <c r="E149" s="34"/>
      <c r="F149" s="34"/>
      <c r="G149" s="34"/>
      <c r="H149" s="34"/>
      <c r="I149" s="34"/>
      <c r="J149" s="50"/>
      <c r="K149" s="34"/>
      <c r="L149" s="34"/>
      <c r="M149" s="34"/>
      <c r="N149" s="34"/>
      <c r="O149" s="50"/>
      <c r="P149" s="34"/>
      <c r="Q149" s="34"/>
      <c r="R149" s="34"/>
      <c r="S149" s="34"/>
      <c r="T149" s="50"/>
      <c r="U149" s="34"/>
      <c r="V149" s="34"/>
      <c r="W149" s="34"/>
      <c r="X149" s="34"/>
      <c r="Y149" s="50"/>
      <c r="Z149" s="34"/>
      <c r="AA149" s="34"/>
      <c r="AB149" s="34"/>
      <c r="AC149" s="34"/>
      <c r="AD149" s="50"/>
      <c r="AE149" s="34"/>
      <c r="AF149" s="34"/>
      <c r="AG149" s="34"/>
      <c r="AH149" s="34"/>
      <c r="AI149" s="50"/>
      <c r="AJ149" s="50"/>
      <c r="AK149" s="50"/>
      <c r="AL149" s="50"/>
      <c r="AM149" s="50"/>
      <c r="AN149" s="50"/>
    </row>
    <row r="150" ht="15.75" customHeight="1">
      <c r="A150" s="33">
        <v>147.0</v>
      </c>
      <c r="B150" s="34"/>
      <c r="C150" s="50"/>
      <c r="D150" s="34"/>
      <c r="E150" s="34"/>
      <c r="F150" s="34"/>
      <c r="G150" s="34"/>
      <c r="H150" s="34"/>
      <c r="I150" s="34"/>
      <c r="J150" s="50"/>
      <c r="K150" s="34"/>
      <c r="L150" s="34"/>
      <c r="M150" s="34"/>
      <c r="N150" s="34"/>
      <c r="O150" s="50"/>
      <c r="P150" s="34"/>
      <c r="Q150" s="34"/>
      <c r="R150" s="34"/>
      <c r="S150" s="34"/>
      <c r="T150" s="50"/>
      <c r="U150" s="34"/>
      <c r="V150" s="34"/>
      <c r="W150" s="34"/>
      <c r="X150" s="34"/>
      <c r="Y150" s="50"/>
      <c r="Z150" s="34"/>
      <c r="AA150" s="34"/>
      <c r="AB150" s="34"/>
      <c r="AC150" s="34"/>
      <c r="AD150" s="50"/>
      <c r="AE150" s="34"/>
      <c r="AF150" s="34"/>
      <c r="AG150" s="34"/>
      <c r="AH150" s="34"/>
      <c r="AI150" s="50"/>
      <c r="AJ150" s="50"/>
      <c r="AK150" s="50"/>
      <c r="AL150" s="50"/>
      <c r="AM150" s="50"/>
      <c r="AN150" s="50"/>
    </row>
    <row r="151" ht="15.75" customHeight="1">
      <c r="A151" s="33">
        <v>148.0</v>
      </c>
      <c r="B151" s="34"/>
      <c r="C151" s="50"/>
      <c r="D151" s="34"/>
      <c r="E151" s="34"/>
      <c r="F151" s="34"/>
      <c r="G151" s="34"/>
      <c r="H151" s="34"/>
      <c r="I151" s="34"/>
      <c r="J151" s="50"/>
      <c r="K151" s="34"/>
      <c r="L151" s="34"/>
      <c r="M151" s="34"/>
      <c r="N151" s="34"/>
      <c r="O151" s="50"/>
      <c r="P151" s="34"/>
      <c r="Q151" s="34"/>
      <c r="R151" s="34"/>
      <c r="S151" s="34"/>
      <c r="T151" s="50"/>
      <c r="U151" s="34"/>
      <c r="V151" s="34"/>
      <c r="W151" s="34"/>
      <c r="X151" s="34"/>
      <c r="Y151" s="50"/>
      <c r="Z151" s="34"/>
      <c r="AA151" s="34"/>
      <c r="AB151" s="34"/>
      <c r="AC151" s="34"/>
      <c r="AD151" s="50"/>
      <c r="AE151" s="34"/>
      <c r="AF151" s="34"/>
      <c r="AG151" s="34"/>
      <c r="AH151" s="34"/>
      <c r="AI151" s="50"/>
      <c r="AJ151" s="50"/>
      <c r="AK151" s="50"/>
      <c r="AL151" s="50"/>
      <c r="AM151" s="50"/>
      <c r="AN151" s="50"/>
    </row>
    <row r="152" ht="15.75" customHeight="1">
      <c r="A152" s="33">
        <v>149.0</v>
      </c>
      <c r="B152" s="34"/>
      <c r="C152" s="50"/>
      <c r="D152" s="34"/>
      <c r="E152" s="34"/>
      <c r="F152" s="34"/>
      <c r="G152" s="34"/>
      <c r="H152" s="34"/>
      <c r="I152" s="34"/>
      <c r="J152" s="50"/>
      <c r="K152" s="34"/>
      <c r="L152" s="34"/>
      <c r="M152" s="34"/>
      <c r="N152" s="34"/>
      <c r="O152" s="50"/>
      <c r="P152" s="34"/>
      <c r="Q152" s="34"/>
      <c r="R152" s="34"/>
      <c r="S152" s="34"/>
      <c r="T152" s="50"/>
      <c r="U152" s="34"/>
      <c r="V152" s="34"/>
      <c r="W152" s="34"/>
      <c r="X152" s="34"/>
      <c r="Y152" s="50"/>
      <c r="Z152" s="34"/>
      <c r="AA152" s="34"/>
      <c r="AB152" s="34"/>
      <c r="AC152" s="34"/>
      <c r="AD152" s="50"/>
      <c r="AE152" s="34"/>
      <c r="AF152" s="34"/>
      <c r="AG152" s="34"/>
      <c r="AH152" s="34"/>
      <c r="AI152" s="50"/>
      <c r="AJ152" s="50"/>
      <c r="AK152" s="50"/>
      <c r="AL152" s="50"/>
      <c r="AM152" s="50"/>
      <c r="AN152" s="50"/>
    </row>
    <row r="153" ht="15.75" customHeight="1">
      <c r="A153" s="33">
        <v>150.0</v>
      </c>
      <c r="B153" s="34"/>
      <c r="C153" s="50"/>
      <c r="D153" s="34"/>
      <c r="E153" s="34"/>
      <c r="F153" s="34"/>
      <c r="G153" s="34"/>
      <c r="H153" s="34"/>
      <c r="I153" s="34"/>
      <c r="J153" s="50"/>
      <c r="K153" s="34"/>
      <c r="L153" s="34"/>
      <c r="M153" s="34"/>
      <c r="N153" s="34"/>
      <c r="O153" s="50"/>
      <c r="P153" s="34"/>
      <c r="Q153" s="34"/>
      <c r="R153" s="34"/>
      <c r="S153" s="34"/>
      <c r="T153" s="50"/>
      <c r="U153" s="34"/>
      <c r="V153" s="34"/>
      <c r="W153" s="34"/>
      <c r="X153" s="34"/>
      <c r="Y153" s="50"/>
      <c r="Z153" s="34"/>
      <c r="AA153" s="34"/>
      <c r="AB153" s="34"/>
      <c r="AC153" s="34"/>
      <c r="AD153" s="50"/>
      <c r="AE153" s="34"/>
      <c r="AF153" s="34"/>
      <c r="AG153" s="34"/>
      <c r="AH153" s="34"/>
      <c r="AI153" s="50"/>
      <c r="AJ153" s="50"/>
      <c r="AK153" s="50"/>
      <c r="AL153" s="50"/>
      <c r="AM153" s="50"/>
      <c r="AN153" s="50"/>
    </row>
    <row r="154" ht="15.75" customHeight="1">
      <c r="A154" s="33">
        <v>151.0</v>
      </c>
      <c r="B154" s="34"/>
      <c r="C154" s="50"/>
      <c r="D154" s="34"/>
      <c r="E154" s="34"/>
      <c r="F154" s="34"/>
      <c r="G154" s="34"/>
      <c r="H154" s="34"/>
      <c r="I154" s="34"/>
      <c r="J154" s="50"/>
      <c r="K154" s="34"/>
      <c r="L154" s="34"/>
      <c r="M154" s="34"/>
      <c r="N154" s="34"/>
      <c r="O154" s="50"/>
      <c r="P154" s="34"/>
      <c r="Q154" s="34"/>
      <c r="R154" s="34"/>
      <c r="S154" s="34"/>
      <c r="T154" s="50"/>
      <c r="U154" s="34"/>
      <c r="V154" s="34"/>
      <c r="W154" s="34"/>
      <c r="X154" s="34"/>
      <c r="Y154" s="50"/>
      <c r="Z154" s="34"/>
      <c r="AA154" s="34"/>
      <c r="AB154" s="34"/>
      <c r="AC154" s="34"/>
      <c r="AD154" s="50"/>
      <c r="AE154" s="34"/>
      <c r="AF154" s="34"/>
      <c r="AG154" s="34"/>
      <c r="AH154" s="34"/>
      <c r="AI154" s="50"/>
      <c r="AJ154" s="50"/>
      <c r="AK154" s="50"/>
      <c r="AL154" s="50"/>
      <c r="AM154" s="50"/>
      <c r="AN154" s="50"/>
    </row>
    <row r="155" ht="15.75" customHeight="1">
      <c r="A155" s="33">
        <v>152.0</v>
      </c>
      <c r="B155" s="34"/>
      <c r="C155" s="50"/>
      <c r="D155" s="34"/>
      <c r="E155" s="34"/>
      <c r="F155" s="34"/>
      <c r="G155" s="34"/>
      <c r="H155" s="34"/>
      <c r="I155" s="34"/>
      <c r="J155" s="50"/>
      <c r="K155" s="34"/>
      <c r="L155" s="34"/>
      <c r="M155" s="34"/>
      <c r="N155" s="34"/>
      <c r="O155" s="50"/>
      <c r="P155" s="34"/>
      <c r="Q155" s="34"/>
      <c r="R155" s="34"/>
      <c r="S155" s="34"/>
      <c r="T155" s="50"/>
      <c r="U155" s="34"/>
      <c r="V155" s="34"/>
      <c r="W155" s="34"/>
      <c r="X155" s="34"/>
      <c r="Y155" s="50"/>
      <c r="Z155" s="34"/>
      <c r="AA155" s="34"/>
      <c r="AB155" s="34"/>
      <c r="AC155" s="34"/>
      <c r="AD155" s="50"/>
      <c r="AE155" s="34"/>
      <c r="AF155" s="34"/>
      <c r="AG155" s="34"/>
      <c r="AH155" s="34"/>
      <c r="AI155" s="50"/>
      <c r="AJ155" s="50"/>
      <c r="AK155" s="50"/>
      <c r="AL155" s="50"/>
      <c r="AM155" s="50"/>
      <c r="AN155" s="50"/>
    </row>
    <row r="156" ht="15.75" customHeight="1">
      <c r="A156" s="33">
        <v>153.0</v>
      </c>
      <c r="B156" s="34"/>
      <c r="C156" s="50"/>
      <c r="D156" s="34"/>
      <c r="E156" s="34"/>
      <c r="F156" s="34"/>
      <c r="G156" s="34"/>
      <c r="H156" s="34"/>
      <c r="I156" s="34"/>
      <c r="J156" s="50"/>
      <c r="K156" s="34"/>
      <c r="L156" s="34"/>
      <c r="M156" s="34"/>
      <c r="N156" s="34"/>
      <c r="O156" s="50"/>
      <c r="P156" s="34"/>
      <c r="Q156" s="34"/>
      <c r="R156" s="34"/>
      <c r="S156" s="34"/>
      <c r="T156" s="50"/>
      <c r="U156" s="34"/>
      <c r="V156" s="34"/>
      <c r="W156" s="34"/>
      <c r="X156" s="34"/>
      <c r="Y156" s="50"/>
      <c r="Z156" s="34"/>
      <c r="AA156" s="34"/>
      <c r="AB156" s="34"/>
      <c r="AC156" s="34"/>
      <c r="AD156" s="50"/>
      <c r="AE156" s="34"/>
      <c r="AF156" s="34"/>
      <c r="AG156" s="34"/>
      <c r="AH156" s="34"/>
      <c r="AI156" s="50"/>
      <c r="AJ156" s="50"/>
      <c r="AK156" s="50"/>
      <c r="AL156" s="50"/>
      <c r="AM156" s="50"/>
      <c r="AN156" s="50"/>
    </row>
    <row r="157" ht="15.75" customHeight="1">
      <c r="A157" s="33">
        <v>154.0</v>
      </c>
      <c r="B157" s="34"/>
      <c r="C157" s="50"/>
      <c r="D157" s="34"/>
      <c r="E157" s="34"/>
      <c r="F157" s="34"/>
      <c r="G157" s="34"/>
      <c r="H157" s="34"/>
      <c r="I157" s="34"/>
      <c r="J157" s="50"/>
      <c r="K157" s="34"/>
      <c r="L157" s="34"/>
      <c r="M157" s="34"/>
      <c r="N157" s="34"/>
      <c r="O157" s="50"/>
      <c r="P157" s="34"/>
      <c r="Q157" s="34"/>
      <c r="R157" s="34"/>
      <c r="S157" s="34"/>
      <c r="T157" s="50"/>
      <c r="U157" s="34"/>
      <c r="V157" s="34"/>
      <c r="W157" s="34"/>
      <c r="X157" s="34"/>
      <c r="Y157" s="50"/>
      <c r="Z157" s="34"/>
      <c r="AA157" s="34"/>
      <c r="AB157" s="34"/>
      <c r="AC157" s="34"/>
      <c r="AD157" s="50"/>
      <c r="AE157" s="34"/>
      <c r="AF157" s="34"/>
      <c r="AG157" s="34"/>
      <c r="AH157" s="34"/>
      <c r="AI157" s="50"/>
      <c r="AJ157" s="50"/>
      <c r="AK157" s="50"/>
      <c r="AL157" s="50"/>
      <c r="AM157" s="50"/>
      <c r="AN157" s="50"/>
    </row>
    <row r="158" ht="15.75" customHeight="1">
      <c r="A158" s="33">
        <v>155.0</v>
      </c>
      <c r="B158" s="34"/>
      <c r="C158" s="50"/>
      <c r="D158" s="34"/>
      <c r="E158" s="34"/>
      <c r="F158" s="34"/>
      <c r="G158" s="34"/>
      <c r="H158" s="34"/>
      <c r="I158" s="34"/>
      <c r="J158" s="50"/>
      <c r="K158" s="34"/>
      <c r="L158" s="34"/>
      <c r="M158" s="34"/>
      <c r="N158" s="34"/>
      <c r="O158" s="50"/>
      <c r="P158" s="34"/>
      <c r="Q158" s="34"/>
      <c r="R158" s="34"/>
      <c r="S158" s="34"/>
      <c r="T158" s="50"/>
      <c r="U158" s="34"/>
      <c r="V158" s="34"/>
      <c r="W158" s="34"/>
      <c r="X158" s="34"/>
      <c r="Y158" s="50"/>
      <c r="Z158" s="34"/>
      <c r="AA158" s="34"/>
      <c r="AB158" s="34"/>
      <c r="AC158" s="34"/>
      <c r="AD158" s="50"/>
      <c r="AE158" s="34"/>
      <c r="AF158" s="34"/>
      <c r="AG158" s="34"/>
      <c r="AH158" s="34"/>
      <c r="AI158" s="50"/>
      <c r="AJ158" s="50"/>
      <c r="AK158" s="50"/>
      <c r="AL158" s="50"/>
      <c r="AM158" s="50"/>
      <c r="AN158" s="50"/>
    </row>
    <row r="159" ht="15.75" customHeight="1">
      <c r="A159" s="33">
        <v>156.0</v>
      </c>
      <c r="B159" s="34"/>
      <c r="C159" s="50"/>
      <c r="D159" s="34"/>
      <c r="E159" s="34"/>
      <c r="F159" s="34"/>
      <c r="G159" s="34"/>
      <c r="H159" s="34"/>
      <c r="I159" s="34"/>
      <c r="J159" s="50"/>
      <c r="K159" s="34"/>
      <c r="L159" s="34"/>
      <c r="M159" s="34"/>
      <c r="N159" s="34"/>
      <c r="O159" s="50"/>
      <c r="P159" s="34"/>
      <c r="Q159" s="34"/>
      <c r="R159" s="34"/>
      <c r="S159" s="34"/>
      <c r="T159" s="50"/>
      <c r="U159" s="34"/>
      <c r="V159" s="34"/>
      <c r="W159" s="34"/>
      <c r="X159" s="34"/>
      <c r="Y159" s="50"/>
      <c r="Z159" s="34"/>
      <c r="AA159" s="34"/>
      <c r="AB159" s="34"/>
      <c r="AC159" s="34"/>
      <c r="AD159" s="50"/>
      <c r="AE159" s="34"/>
      <c r="AF159" s="34"/>
      <c r="AG159" s="34"/>
      <c r="AH159" s="34"/>
      <c r="AI159" s="50"/>
      <c r="AJ159" s="50"/>
      <c r="AK159" s="50"/>
      <c r="AL159" s="50"/>
      <c r="AM159" s="50"/>
      <c r="AN159" s="50"/>
    </row>
    <row r="160" ht="15.75" customHeight="1">
      <c r="A160" s="33">
        <v>157.0</v>
      </c>
      <c r="B160" s="34"/>
      <c r="C160" s="50"/>
      <c r="D160" s="34"/>
      <c r="E160" s="34"/>
      <c r="F160" s="34"/>
      <c r="G160" s="34"/>
      <c r="H160" s="34"/>
      <c r="I160" s="34"/>
      <c r="J160" s="50"/>
      <c r="K160" s="34"/>
      <c r="L160" s="34"/>
      <c r="M160" s="34"/>
      <c r="N160" s="34"/>
      <c r="O160" s="50"/>
      <c r="P160" s="34"/>
      <c r="Q160" s="34"/>
      <c r="R160" s="34"/>
      <c r="S160" s="34"/>
      <c r="T160" s="50"/>
      <c r="U160" s="34"/>
      <c r="V160" s="34"/>
      <c r="W160" s="34"/>
      <c r="X160" s="34"/>
      <c r="Y160" s="50"/>
      <c r="Z160" s="34"/>
      <c r="AA160" s="34"/>
      <c r="AB160" s="34"/>
      <c r="AC160" s="34"/>
      <c r="AD160" s="50"/>
      <c r="AE160" s="34"/>
      <c r="AF160" s="34"/>
      <c r="AG160" s="34"/>
      <c r="AH160" s="34"/>
      <c r="AI160" s="50"/>
      <c r="AJ160" s="50"/>
      <c r="AK160" s="50"/>
      <c r="AL160" s="50"/>
      <c r="AM160" s="50"/>
      <c r="AN160" s="50"/>
    </row>
    <row r="161" ht="15.75" customHeight="1">
      <c r="A161" s="33">
        <v>158.0</v>
      </c>
      <c r="B161" s="34"/>
      <c r="C161" s="50"/>
      <c r="D161" s="34"/>
      <c r="E161" s="34"/>
      <c r="F161" s="34"/>
      <c r="G161" s="34"/>
      <c r="H161" s="34"/>
      <c r="I161" s="34"/>
      <c r="J161" s="50"/>
      <c r="K161" s="34"/>
      <c r="L161" s="34"/>
      <c r="M161" s="34"/>
      <c r="N161" s="34"/>
      <c r="O161" s="50"/>
      <c r="P161" s="34"/>
      <c r="Q161" s="34"/>
      <c r="R161" s="34"/>
      <c r="S161" s="34"/>
      <c r="T161" s="50"/>
      <c r="U161" s="34"/>
      <c r="V161" s="34"/>
      <c r="W161" s="34"/>
      <c r="X161" s="34"/>
      <c r="Y161" s="50"/>
      <c r="Z161" s="34"/>
      <c r="AA161" s="34"/>
      <c r="AB161" s="34"/>
      <c r="AC161" s="34"/>
      <c r="AD161" s="50"/>
      <c r="AE161" s="34"/>
      <c r="AF161" s="34"/>
      <c r="AG161" s="34"/>
      <c r="AH161" s="34"/>
      <c r="AI161" s="50"/>
      <c r="AJ161" s="50"/>
      <c r="AK161" s="50"/>
      <c r="AL161" s="50"/>
      <c r="AM161" s="50"/>
      <c r="AN161" s="50"/>
    </row>
    <row r="162" ht="15.75" customHeight="1">
      <c r="A162" s="33">
        <v>159.0</v>
      </c>
      <c r="B162" s="34"/>
      <c r="C162" s="50"/>
      <c r="D162" s="34"/>
      <c r="E162" s="34"/>
      <c r="F162" s="34"/>
      <c r="G162" s="34"/>
      <c r="H162" s="34"/>
      <c r="I162" s="34"/>
      <c r="J162" s="50"/>
      <c r="K162" s="34"/>
      <c r="L162" s="34"/>
      <c r="M162" s="34"/>
      <c r="N162" s="34"/>
      <c r="O162" s="50"/>
      <c r="P162" s="34"/>
      <c r="Q162" s="34"/>
      <c r="R162" s="34"/>
      <c r="S162" s="34"/>
      <c r="T162" s="50"/>
      <c r="U162" s="34"/>
      <c r="V162" s="34"/>
      <c r="W162" s="34"/>
      <c r="X162" s="34"/>
      <c r="Y162" s="50"/>
      <c r="Z162" s="34"/>
      <c r="AA162" s="34"/>
      <c r="AB162" s="34"/>
      <c r="AC162" s="34"/>
      <c r="AD162" s="50"/>
      <c r="AE162" s="34"/>
      <c r="AF162" s="34"/>
      <c r="AG162" s="34"/>
      <c r="AH162" s="34"/>
      <c r="AI162" s="50"/>
      <c r="AJ162" s="50"/>
      <c r="AK162" s="50"/>
      <c r="AL162" s="50"/>
      <c r="AM162" s="50"/>
      <c r="AN162" s="50"/>
    </row>
    <row r="163" ht="15.75" customHeight="1">
      <c r="A163" s="33">
        <v>160.0</v>
      </c>
      <c r="B163" s="34"/>
      <c r="C163" s="50"/>
      <c r="D163" s="34"/>
      <c r="E163" s="34"/>
      <c r="F163" s="34"/>
      <c r="G163" s="34"/>
      <c r="H163" s="34"/>
      <c r="I163" s="34"/>
      <c r="J163" s="50"/>
      <c r="K163" s="34"/>
      <c r="L163" s="34"/>
      <c r="M163" s="34"/>
      <c r="N163" s="34"/>
      <c r="O163" s="50"/>
      <c r="P163" s="34"/>
      <c r="Q163" s="34"/>
      <c r="R163" s="34"/>
      <c r="S163" s="34"/>
      <c r="T163" s="50"/>
      <c r="U163" s="34"/>
      <c r="V163" s="34"/>
      <c r="W163" s="34"/>
      <c r="X163" s="34"/>
      <c r="Y163" s="50"/>
      <c r="Z163" s="34"/>
      <c r="AA163" s="34"/>
      <c r="AB163" s="34"/>
      <c r="AC163" s="34"/>
      <c r="AD163" s="50"/>
      <c r="AE163" s="34"/>
      <c r="AF163" s="34"/>
      <c r="AG163" s="34"/>
      <c r="AH163" s="34"/>
      <c r="AI163" s="50"/>
      <c r="AJ163" s="50"/>
      <c r="AK163" s="50"/>
      <c r="AL163" s="50"/>
      <c r="AM163" s="50"/>
      <c r="AN163" s="50"/>
    </row>
    <row r="164" ht="15.75" customHeight="1">
      <c r="A164" s="33">
        <v>161.0</v>
      </c>
      <c r="B164" s="34"/>
      <c r="C164" s="50"/>
      <c r="D164" s="34"/>
      <c r="E164" s="34"/>
      <c r="F164" s="34"/>
      <c r="G164" s="34"/>
      <c r="H164" s="34"/>
      <c r="I164" s="34"/>
      <c r="J164" s="50"/>
      <c r="K164" s="34"/>
      <c r="L164" s="34"/>
      <c r="M164" s="34"/>
      <c r="N164" s="34"/>
      <c r="O164" s="50"/>
      <c r="P164" s="34"/>
      <c r="Q164" s="34"/>
      <c r="R164" s="34"/>
      <c r="S164" s="34"/>
      <c r="T164" s="50"/>
      <c r="U164" s="34"/>
      <c r="V164" s="34"/>
      <c r="W164" s="34"/>
      <c r="X164" s="34"/>
      <c r="Y164" s="50"/>
      <c r="Z164" s="34"/>
      <c r="AA164" s="34"/>
      <c r="AB164" s="34"/>
      <c r="AC164" s="34"/>
      <c r="AD164" s="50"/>
      <c r="AE164" s="34"/>
      <c r="AF164" s="34"/>
      <c r="AG164" s="34"/>
      <c r="AH164" s="34"/>
      <c r="AI164" s="50"/>
      <c r="AJ164" s="50"/>
      <c r="AK164" s="50"/>
      <c r="AL164" s="50"/>
      <c r="AM164" s="50"/>
      <c r="AN164" s="50"/>
    </row>
    <row r="165" ht="15.75" customHeight="1">
      <c r="A165" s="33">
        <v>162.0</v>
      </c>
      <c r="B165" s="34"/>
      <c r="C165" s="50"/>
      <c r="D165" s="34"/>
      <c r="E165" s="34"/>
      <c r="F165" s="34"/>
      <c r="G165" s="34"/>
      <c r="H165" s="34"/>
      <c r="I165" s="34"/>
      <c r="J165" s="50"/>
      <c r="K165" s="34"/>
      <c r="L165" s="34"/>
      <c r="M165" s="34"/>
      <c r="N165" s="34"/>
      <c r="O165" s="50"/>
      <c r="P165" s="34"/>
      <c r="Q165" s="34"/>
      <c r="R165" s="34"/>
      <c r="S165" s="34"/>
      <c r="T165" s="50"/>
      <c r="U165" s="34"/>
      <c r="V165" s="34"/>
      <c r="W165" s="34"/>
      <c r="X165" s="34"/>
      <c r="Y165" s="50"/>
      <c r="Z165" s="34"/>
      <c r="AA165" s="34"/>
      <c r="AB165" s="34"/>
      <c r="AC165" s="34"/>
      <c r="AD165" s="50"/>
      <c r="AE165" s="34"/>
      <c r="AF165" s="34"/>
      <c r="AG165" s="34"/>
      <c r="AH165" s="34"/>
      <c r="AI165" s="50"/>
      <c r="AJ165" s="50"/>
      <c r="AK165" s="50"/>
      <c r="AL165" s="50"/>
      <c r="AM165" s="50"/>
      <c r="AN165" s="50"/>
    </row>
    <row r="166" ht="15.75" customHeight="1">
      <c r="A166" s="33">
        <v>163.0</v>
      </c>
      <c r="B166" s="34"/>
      <c r="C166" s="50"/>
      <c r="D166" s="34"/>
      <c r="E166" s="34"/>
      <c r="F166" s="34"/>
      <c r="G166" s="34"/>
      <c r="H166" s="34"/>
      <c r="I166" s="34"/>
      <c r="J166" s="50"/>
      <c r="K166" s="34"/>
      <c r="L166" s="34"/>
      <c r="M166" s="34"/>
      <c r="N166" s="34"/>
      <c r="O166" s="50"/>
      <c r="P166" s="34"/>
      <c r="Q166" s="34"/>
      <c r="R166" s="34"/>
      <c r="S166" s="34"/>
      <c r="T166" s="50"/>
      <c r="U166" s="34"/>
      <c r="V166" s="34"/>
      <c r="W166" s="34"/>
      <c r="X166" s="34"/>
      <c r="Y166" s="50"/>
      <c r="Z166" s="34"/>
      <c r="AA166" s="34"/>
      <c r="AB166" s="34"/>
      <c r="AC166" s="34"/>
      <c r="AD166" s="50"/>
      <c r="AE166" s="34"/>
      <c r="AF166" s="34"/>
      <c r="AG166" s="34"/>
      <c r="AH166" s="34"/>
      <c r="AI166" s="50"/>
      <c r="AJ166" s="50"/>
      <c r="AK166" s="50"/>
      <c r="AL166" s="50"/>
      <c r="AM166" s="50"/>
      <c r="AN166" s="50"/>
    </row>
    <row r="167" ht="15.75" customHeight="1">
      <c r="A167" s="33">
        <v>164.0</v>
      </c>
      <c r="B167" s="34"/>
      <c r="C167" s="50"/>
      <c r="D167" s="34"/>
      <c r="E167" s="34"/>
      <c r="F167" s="34"/>
      <c r="G167" s="34"/>
      <c r="H167" s="34"/>
      <c r="I167" s="34"/>
      <c r="J167" s="50"/>
      <c r="K167" s="34"/>
      <c r="L167" s="34"/>
      <c r="M167" s="34"/>
      <c r="N167" s="34"/>
      <c r="O167" s="50"/>
      <c r="P167" s="34"/>
      <c r="Q167" s="34"/>
      <c r="R167" s="34"/>
      <c r="S167" s="34"/>
      <c r="T167" s="50"/>
      <c r="U167" s="34"/>
      <c r="V167" s="34"/>
      <c r="W167" s="34"/>
      <c r="X167" s="34"/>
      <c r="Y167" s="50"/>
      <c r="Z167" s="34"/>
      <c r="AA167" s="34"/>
      <c r="AB167" s="34"/>
      <c r="AC167" s="34"/>
      <c r="AD167" s="50"/>
      <c r="AE167" s="34"/>
      <c r="AF167" s="34"/>
      <c r="AG167" s="34"/>
      <c r="AH167" s="34"/>
      <c r="AI167" s="50"/>
      <c r="AJ167" s="50"/>
      <c r="AK167" s="50"/>
      <c r="AL167" s="50"/>
      <c r="AM167" s="50"/>
      <c r="AN167" s="50"/>
    </row>
    <row r="168" ht="15.75" customHeight="1">
      <c r="A168" s="33">
        <v>165.0</v>
      </c>
      <c r="B168" s="34"/>
      <c r="C168" s="50"/>
      <c r="D168" s="34"/>
      <c r="E168" s="34"/>
      <c r="F168" s="34"/>
      <c r="G168" s="34"/>
      <c r="H168" s="34"/>
      <c r="I168" s="34"/>
      <c r="J168" s="50"/>
      <c r="K168" s="34"/>
      <c r="L168" s="34"/>
      <c r="M168" s="34"/>
      <c r="N168" s="34"/>
      <c r="O168" s="50"/>
      <c r="P168" s="34"/>
      <c r="Q168" s="34"/>
      <c r="R168" s="34"/>
      <c r="S168" s="34"/>
      <c r="T168" s="50"/>
      <c r="U168" s="34"/>
      <c r="V168" s="34"/>
      <c r="W168" s="34"/>
      <c r="X168" s="34"/>
      <c r="Y168" s="50"/>
      <c r="Z168" s="34"/>
      <c r="AA168" s="34"/>
      <c r="AB168" s="34"/>
      <c r="AC168" s="34"/>
      <c r="AD168" s="50"/>
      <c r="AE168" s="34"/>
      <c r="AF168" s="34"/>
      <c r="AG168" s="34"/>
      <c r="AH168" s="34"/>
      <c r="AI168" s="50"/>
      <c r="AJ168" s="50"/>
      <c r="AK168" s="50"/>
      <c r="AL168" s="50"/>
      <c r="AM168" s="50"/>
      <c r="AN168" s="50"/>
    </row>
    <row r="169" ht="15.75" customHeight="1">
      <c r="A169" s="33">
        <v>166.0</v>
      </c>
      <c r="B169" s="34"/>
      <c r="C169" s="50"/>
      <c r="D169" s="34"/>
      <c r="E169" s="34"/>
      <c r="F169" s="34"/>
      <c r="G169" s="34"/>
      <c r="H169" s="34"/>
      <c r="I169" s="34"/>
      <c r="J169" s="50"/>
      <c r="K169" s="34"/>
      <c r="L169" s="34"/>
      <c r="M169" s="34"/>
      <c r="N169" s="34"/>
      <c r="O169" s="50"/>
      <c r="P169" s="34"/>
      <c r="Q169" s="34"/>
      <c r="R169" s="34"/>
      <c r="S169" s="34"/>
      <c r="T169" s="50"/>
      <c r="U169" s="34"/>
      <c r="V169" s="34"/>
      <c r="W169" s="34"/>
      <c r="X169" s="34"/>
      <c r="Y169" s="50"/>
      <c r="Z169" s="34"/>
      <c r="AA169" s="34"/>
      <c r="AB169" s="34"/>
      <c r="AC169" s="34"/>
      <c r="AD169" s="50"/>
      <c r="AE169" s="34"/>
      <c r="AF169" s="34"/>
      <c r="AG169" s="34"/>
      <c r="AH169" s="34"/>
      <c r="AI169" s="50"/>
      <c r="AJ169" s="50"/>
      <c r="AK169" s="50"/>
      <c r="AL169" s="50"/>
      <c r="AM169" s="50"/>
      <c r="AN169" s="50"/>
    </row>
    <row r="170" ht="15.75" customHeight="1">
      <c r="A170" s="33">
        <v>167.0</v>
      </c>
      <c r="B170" s="34"/>
      <c r="C170" s="50"/>
      <c r="D170" s="34"/>
      <c r="E170" s="34"/>
      <c r="F170" s="34"/>
      <c r="G170" s="34"/>
      <c r="H170" s="34"/>
      <c r="I170" s="34"/>
      <c r="J170" s="50"/>
      <c r="K170" s="34"/>
      <c r="L170" s="34"/>
      <c r="M170" s="34"/>
      <c r="N170" s="34"/>
      <c r="O170" s="50"/>
      <c r="P170" s="34"/>
      <c r="Q170" s="34"/>
      <c r="R170" s="34"/>
      <c r="S170" s="34"/>
      <c r="T170" s="50"/>
      <c r="U170" s="34"/>
      <c r="V170" s="34"/>
      <c r="W170" s="34"/>
      <c r="X170" s="34"/>
      <c r="Y170" s="50"/>
      <c r="Z170" s="34"/>
      <c r="AA170" s="34"/>
      <c r="AB170" s="34"/>
      <c r="AC170" s="34"/>
      <c r="AD170" s="50"/>
      <c r="AE170" s="34"/>
      <c r="AF170" s="34"/>
      <c r="AG170" s="34"/>
      <c r="AH170" s="34"/>
      <c r="AI170" s="50"/>
      <c r="AJ170" s="50"/>
      <c r="AK170" s="50"/>
      <c r="AL170" s="50"/>
      <c r="AM170" s="50"/>
      <c r="AN170" s="50"/>
    </row>
    <row r="171" ht="15.75" customHeight="1">
      <c r="A171" s="33">
        <v>168.0</v>
      </c>
      <c r="B171" s="34"/>
      <c r="C171" s="50"/>
      <c r="D171" s="34"/>
      <c r="E171" s="34"/>
      <c r="F171" s="34"/>
      <c r="G171" s="34"/>
      <c r="H171" s="34"/>
      <c r="I171" s="34"/>
      <c r="J171" s="50"/>
      <c r="K171" s="34"/>
      <c r="L171" s="34"/>
      <c r="M171" s="34"/>
      <c r="N171" s="34"/>
      <c r="O171" s="50"/>
      <c r="P171" s="34"/>
      <c r="Q171" s="34"/>
      <c r="R171" s="34"/>
      <c r="S171" s="34"/>
      <c r="T171" s="50"/>
      <c r="U171" s="34"/>
      <c r="V171" s="34"/>
      <c r="W171" s="34"/>
      <c r="X171" s="34"/>
      <c r="Y171" s="50"/>
      <c r="Z171" s="34"/>
      <c r="AA171" s="34"/>
      <c r="AB171" s="34"/>
      <c r="AC171" s="34"/>
      <c r="AD171" s="50"/>
      <c r="AE171" s="34"/>
      <c r="AF171" s="34"/>
      <c r="AG171" s="34"/>
      <c r="AH171" s="34"/>
      <c r="AI171" s="50"/>
      <c r="AJ171" s="50"/>
      <c r="AK171" s="50"/>
      <c r="AL171" s="50"/>
      <c r="AM171" s="50"/>
      <c r="AN171" s="50"/>
    </row>
    <row r="172" ht="15.75" customHeight="1">
      <c r="A172" s="33">
        <v>169.0</v>
      </c>
      <c r="B172" s="34"/>
      <c r="C172" s="50"/>
      <c r="D172" s="34"/>
      <c r="E172" s="34"/>
      <c r="F172" s="34"/>
      <c r="G172" s="34"/>
      <c r="H172" s="34"/>
      <c r="I172" s="34"/>
      <c r="J172" s="50"/>
      <c r="K172" s="34"/>
      <c r="L172" s="34"/>
      <c r="M172" s="34"/>
      <c r="N172" s="34"/>
      <c r="O172" s="50"/>
      <c r="P172" s="34"/>
      <c r="Q172" s="34"/>
      <c r="R172" s="34"/>
      <c r="S172" s="34"/>
      <c r="T172" s="50"/>
      <c r="U172" s="34"/>
      <c r="V172" s="34"/>
      <c r="W172" s="34"/>
      <c r="X172" s="34"/>
      <c r="Y172" s="50"/>
      <c r="Z172" s="34"/>
      <c r="AA172" s="34"/>
      <c r="AB172" s="34"/>
      <c r="AC172" s="34"/>
      <c r="AD172" s="50"/>
      <c r="AE172" s="34"/>
      <c r="AF172" s="34"/>
      <c r="AG172" s="34"/>
      <c r="AH172" s="34"/>
      <c r="AI172" s="50"/>
      <c r="AJ172" s="50"/>
      <c r="AK172" s="50"/>
      <c r="AL172" s="50"/>
      <c r="AM172" s="50"/>
      <c r="AN172" s="50"/>
    </row>
    <row r="173" ht="15.75" customHeight="1">
      <c r="A173" s="33">
        <v>170.0</v>
      </c>
      <c r="B173" s="34"/>
      <c r="C173" s="50"/>
      <c r="D173" s="34"/>
      <c r="E173" s="34"/>
      <c r="F173" s="34"/>
      <c r="G173" s="34"/>
      <c r="H173" s="34"/>
      <c r="I173" s="34"/>
      <c r="J173" s="50"/>
      <c r="K173" s="34"/>
      <c r="L173" s="34"/>
      <c r="M173" s="34"/>
      <c r="N173" s="34"/>
      <c r="O173" s="50"/>
      <c r="P173" s="34"/>
      <c r="Q173" s="34"/>
      <c r="R173" s="34"/>
      <c r="S173" s="34"/>
      <c r="T173" s="50"/>
      <c r="U173" s="34"/>
      <c r="V173" s="34"/>
      <c r="W173" s="34"/>
      <c r="X173" s="34"/>
      <c r="Y173" s="50"/>
      <c r="Z173" s="34"/>
      <c r="AA173" s="34"/>
      <c r="AB173" s="34"/>
      <c r="AC173" s="34"/>
      <c r="AD173" s="50"/>
      <c r="AE173" s="34"/>
      <c r="AF173" s="34"/>
      <c r="AG173" s="34"/>
      <c r="AH173" s="34"/>
      <c r="AI173" s="50"/>
      <c r="AJ173" s="50"/>
      <c r="AK173" s="50"/>
      <c r="AL173" s="50"/>
      <c r="AM173" s="50"/>
      <c r="AN173" s="50"/>
    </row>
    <row r="174" ht="15.75" customHeight="1">
      <c r="A174" s="33">
        <v>171.0</v>
      </c>
      <c r="B174" s="34"/>
      <c r="C174" s="50"/>
      <c r="D174" s="34"/>
      <c r="E174" s="34"/>
      <c r="F174" s="34"/>
      <c r="G174" s="34"/>
      <c r="H174" s="34"/>
      <c r="I174" s="34"/>
      <c r="J174" s="50"/>
      <c r="K174" s="34"/>
      <c r="L174" s="34"/>
      <c r="M174" s="34"/>
      <c r="N174" s="34"/>
      <c r="O174" s="50"/>
      <c r="P174" s="34"/>
      <c r="Q174" s="34"/>
      <c r="R174" s="34"/>
      <c r="S174" s="34"/>
      <c r="T174" s="50"/>
      <c r="U174" s="34"/>
      <c r="V174" s="34"/>
      <c r="W174" s="34"/>
      <c r="X174" s="34"/>
      <c r="Y174" s="50"/>
      <c r="Z174" s="34"/>
      <c r="AA174" s="34"/>
      <c r="AB174" s="34"/>
      <c r="AC174" s="34"/>
      <c r="AD174" s="50"/>
      <c r="AE174" s="34"/>
      <c r="AF174" s="34"/>
      <c r="AG174" s="34"/>
      <c r="AH174" s="34"/>
      <c r="AI174" s="50"/>
      <c r="AJ174" s="50"/>
      <c r="AK174" s="50"/>
      <c r="AL174" s="50"/>
      <c r="AM174" s="50"/>
      <c r="AN174" s="50"/>
    </row>
    <row r="175" ht="15.75" customHeight="1">
      <c r="A175" s="33">
        <v>172.0</v>
      </c>
      <c r="B175" s="34"/>
      <c r="C175" s="50"/>
      <c r="D175" s="34"/>
      <c r="E175" s="34"/>
      <c r="F175" s="34"/>
      <c r="G175" s="34"/>
      <c r="H175" s="34"/>
      <c r="I175" s="34"/>
      <c r="J175" s="50"/>
      <c r="K175" s="34"/>
      <c r="L175" s="34"/>
      <c r="M175" s="34"/>
      <c r="N175" s="34"/>
      <c r="O175" s="50"/>
      <c r="P175" s="34"/>
      <c r="Q175" s="34"/>
      <c r="R175" s="34"/>
      <c r="S175" s="34"/>
      <c r="T175" s="50"/>
      <c r="U175" s="34"/>
      <c r="V175" s="34"/>
      <c r="W175" s="34"/>
      <c r="X175" s="34"/>
      <c r="Y175" s="50"/>
      <c r="Z175" s="34"/>
      <c r="AA175" s="34"/>
      <c r="AB175" s="34"/>
      <c r="AC175" s="34"/>
      <c r="AD175" s="50"/>
      <c r="AE175" s="34"/>
      <c r="AF175" s="34"/>
      <c r="AG175" s="34"/>
      <c r="AH175" s="34"/>
      <c r="AI175" s="50"/>
      <c r="AJ175" s="50"/>
      <c r="AK175" s="50"/>
      <c r="AL175" s="50"/>
      <c r="AM175" s="50"/>
      <c r="AN175" s="50"/>
    </row>
    <row r="176" ht="15.75" customHeight="1">
      <c r="A176" s="33">
        <v>173.0</v>
      </c>
      <c r="B176" s="34"/>
      <c r="C176" s="50"/>
      <c r="D176" s="34"/>
      <c r="E176" s="34"/>
      <c r="F176" s="34"/>
      <c r="G176" s="34"/>
      <c r="H176" s="34"/>
      <c r="I176" s="34"/>
      <c r="J176" s="50"/>
      <c r="K176" s="34"/>
      <c r="L176" s="34"/>
      <c r="M176" s="34"/>
      <c r="N176" s="34"/>
      <c r="O176" s="50"/>
      <c r="P176" s="34"/>
      <c r="Q176" s="34"/>
      <c r="R176" s="34"/>
      <c r="S176" s="34"/>
      <c r="T176" s="50"/>
      <c r="U176" s="34"/>
      <c r="V176" s="34"/>
      <c r="W176" s="34"/>
      <c r="X176" s="34"/>
      <c r="Y176" s="50"/>
      <c r="Z176" s="34"/>
      <c r="AA176" s="34"/>
      <c r="AB176" s="34"/>
      <c r="AC176" s="34"/>
      <c r="AD176" s="50"/>
      <c r="AE176" s="34"/>
      <c r="AF176" s="34"/>
      <c r="AG176" s="34"/>
      <c r="AH176" s="34"/>
      <c r="AI176" s="50"/>
      <c r="AJ176" s="50"/>
      <c r="AK176" s="50"/>
      <c r="AL176" s="50"/>
      <c r="AM176" s="50"/>
      <c r="AN176" s="50"/>
    </row>
    <row r="177" ht="15.75" customHeight="1">
      <c r="A177" s="33">
        <v>174.0</v>
      </c>
      <c r="B177" s="34"/>
      <c r="C177" s="50"/>
      <c r="D177" s="34"/>
      <c r="E177" s="34"/>
      <c r="F177" s="34"/>
      <c r="G177" s="34"/>
      <c r="H177" s="34"/>
      <c r="I177" s="34"/>
      <c r="J177" s="50"/>
      <c r="K177" s="34"/>
      <c r="L177" s="34"/>
      <c r="M177" s="34"/>
      <c r="N177" s="34"/>
      <c r="O177" s="50"/>
      <c r="P177" s="34"/>
      <c r="Q177" s="34"/>
      <c r="R177" s="34"/>
      <c r="S177" s="34"/>
      <c r="T177" s="50"/>
      <c r="U177" s="34"/>
      <c r="V177" s="34"/>
      <c r="W177" s="34"/>
      <c r="X177" s="34"/>
      <c r="Y177" s="50"/>
      <c r="Z177" s="34"/>
      <c r="AA177" s="34"/>
      <c r="AB177" s="34"/>
      <c r="AC177" s="34"/>
      <c r="AD177" s="50"/>
      <c r="AE177" s="34"/>
      <c r="AF177" s="34"/>
      <c r="AG177" s="34"/>
      <c r="AH177" s="34"/>
      <c r="AI177" s="50"/>
      <c r="AJ177" s="50"/>
      <c r="AK177" s="50"/>
      <c r="AL177" s="50"/>
      <c r="AM177" s="50"/>
      <c r="AN177" s="50"/>
    </row>
    <row r="178" ht="15.75" customHeight="1">
      <c r="A178" s="33">
        <v>175.0</v>
      </c>
      <c r="B178" s="34"/>
      <c r="C178" s="50"/>
      <c r="D178" s="34"/>
      <c r="E178" s="34"/>
      <c r="F178" s="34"/>
      <c r="G178" s="34"/>
      <c r="H178" s="34"/>
      <c r="I178" s="34"/>
      <c r="J178" s="50"/>
      <c r="K178" s="34"/>
      <c r="L178" s="34"/>
      <c r="M178" s="34"/>
      <c r="N178" s="34"/>
      <c r="O178" s="50"/>
      <c r="P178" s="34"/>
      <c r="Q178" s="34"/>
      <c r="R178" s="34"/>
      <c r="S178" s="34"/>
      <c r="T178" s="50"/>
      <c r="U178" s="34"/>
      <c r="V178" s="34"/>
      <c r="W178" s="34"/>
      <c r="X178" s="34"/>
      <c r="Y178" s="50"/>
      <c r="Z178" s="34"/>
      <c r="AA178" s="34"/>
      <c r="AB178" s="34"/>
      <c r="AC178" s="34"/>
      <c r="AD178" s="50"/>
      <c r="AE178" s="34"/>
      <c r="AF178" s="34"/>
      <c r="AG178" s="34"/>
      <c r="AH178" s="34"/>
      <c r="AI178" s="50"/>
      <c r="AJ178" s="50"/>
      <c r="AK178" s="50"/>
      <c r="AL178" s="50"/>
      <c r="AM178" s="50"/>
      <c r="AN178" s="50"/>
    </row>
    <row r="179" ht="15.75" customHeight="1">
      <c r="A179" s="33">
        <v>176.0</v>
      </c>
      <c r="B179" s="34"/>
      <c r="C179" s="50"/>
      <c r="D179" s="34"/>
      <c r="E179" s="34"/>
      <c r="F179" s="34"/>
      <c r="G179" s="34"/>
      <c r="H179" s="34"/>
      <c r="I179" s="34"/>
      <c r="J179" s="50"/>
      <c r="K179" s="34"/>
      <c r="L179" s="34"/>
      <c r="M179" s="34"/>
      <c r="N179" s="34"/>
      <c r="O179" s="50"/>
      <c r="P179" s="34"/>
      <c r="Q179" s="34"/>
      <c r="R179" s="34"/>
      <c r="S179" s="34"/>
      <c r="T179" s="50"/>
      <c r="U179" s="34"/>
      <c r="V179" s="34"/>
      <c r="W179" s="34"/>
      <c r="X179" s="34"/>
      <c r="Y179" s="50"/>
      <c r="Z179" s="34"/>
      <c r="AA179" s="34"/>
      <c r="AB179" s="34"/>
      <c r="AC179" s="34"/>
      <c r="AD179" s="50"/>
      <c r="AE179" s="34"/>
      <c r="AF179" s="34"/>
      <c r="AG179" s="34"/>
      <c r="AH179" s="34"/>
      <c r="AI179" s="50"/>
      <c r="AJ179" s="50"/>
      <c r="AK179" s="50"/>
      <c r="AL179" s="50"/>
      <c r="AM179" s="50"/>
      <c r="AN179" s="50"/>
    </row>
    <row r="180" ht="15.75" customHeight="1">
      <c r="A180" s="33">
        <v>177.0</v>
      </c>
      <c r="B180" s="34"/>
      <c r="C180" s="50"/>
      <c r="D180" s="34"/>
      <c r="E180" s="34"/>
      <c r="F180" s="34"/>
      <c r="G180" s="34"/>
      <c r="H180" s="34"/>
      <c r="I180" s="34"/>
      <c r="J180" s="50"/>
      <c r="K180" s="34"/>
      <c r="L180" s="34"/>
      <c r="M180" s="34"/>
      <c r="N180" s="34"/>
      <c r="O180" s="50"/>
      <c r="P180" s="34"/>
      <c r="Q180" s="34"/>
      <c r="R180" s="34"/>
      <c r="S180" s="34"/>
      <c r="T180" s="50"/>
      <c r="U180" s="34"/>
      <c r="V180" s="34"/>
      <c r="W180" s="34"/>
      <c r="X180" s="34"/>
      <c r="Y180" s="50"/>
      <c r="Z180" s="34"/>
      <c r="AA180" s="34"/>
      <c r="AB180" s="34"/>
      <c r="AC180" s="34"/>
      <c r="AD180" s="50"/>
      <c r="AE180" s="34"/>
      <c r="AF180" s="34"/>
      <c r="AG180" s="34"/>
      <c r="AH180" s="34"/>
      <c r="AI180" s="50"/>
      <c r="AJ180" s="50"/>
      <c r="AK180" s="50"/>
      <c r="AL180" s="50"/>
      <c r="AM180" s="50"/>
      <c r="AN180" s="50"/>
    </row>
    <row r="181" ht="15.75" customHeight="1">
      <c r="A181" s="33">
        <v>178.0</v>
      </c>
      <c r="B181" s="34"/>
      <c r="C181" s="50"/>
      <c r="D181" s="34"/>
      <c r="E181" s="34"/>
      <c r="F181" s="34"/>
      <c r="G181" s="34"/>
      <c r="H181" s="34"/>
      <c r="I181" s="34"/>
      <c r="J181" s="50"/>
      <c r="K181" s="34"/>
      <c r="L181" s="34"/>
      <c r="M181" s="34"/>
      <c r="N181" s="34"/>
      <c r="O181" s="50"/>
      <c r="P181" s="34"/>
      <c r="Q181" s="34"/>
      <c r="R181" s="34"/>
      <c r="S181" s="34"/>
      <c r="T181" s="50"/>
      <c r="U181" s="34"/>
      <c r="V181" s="34"/>
      <c r="W181" s="34"/>
      <c r="X181" s="34"/>
      <c r="Y181" s="50"/>
      <c r="Z181" s="34"/>
      <c r="AA181" s="34"/>
      <c r="AB181" s="34"/>
      <c r="AC181" s="34"/>
      <c r="AD181" s="50"/>
      <c r="AE181" s="34"/>
      <c r="AF181" s="34"/>
      <c r="AG181" s="34"/>
      <c r="AH181" s="34"/>
      <c r="AI181" s="50"/>
      <c r="AJ181" s="50"/>
      <c r="AK181" s="50"/>
      <c r="AL181" s="50"/>
      <c r="AM181" s="50"/>
      <c r="AN181" s="50"/>
    </row>
    <row r="182" ht="15.75" customHeight="1">
      <c r="A182" s="33">
        <v>179.0</v>
      </c>
      <c r="B182" s="34"/>
      <c r="C182" s="50"/>
      <c r="D182" s="34"/>
      <c r="E182" s="34"/>
      <c r="F182" s="34"/>
      <c r="G182" s="34"/>
      <c r="H182" s="34"/>
      <c r="I182" s="34"/>
      <c r="J182" s="50"/>
      <c r="K182" s="34"/>
      <c r="L182" s="34"/>
      <c r="M182" s="34"/>
      <c r="N182" s="34"/>
      <c r="O182" s="50"/>
      <c r="P182" s="34"/>
      <c r="Q182" s="34"/>
      <c r="R182" s="34"/>
      <c r="S182" s="34"/>
      <c r="T182" s="50"/>
      <c r="U182" s="34"/>
      <c r="V182" s="34"/>
      <c r="W182" s="34"/>
      <c r="X182" s="34"/>
      <c r="Y182" s="50"/>
      <c r="Z182" s="34"/>
      <c r="AA182" s="34"/>
      <c r="AB182" s="34"/>
      <c r="AC182" s="34"/>
      <c r="AD182" s="50"/>
      <c r="AE182" s="34"/>
      <c r="AF182" s="34"/>
      <c r="AG182" s="34"/>
      <c r="AH182" s="34"/>
      <c r="AI182" s="50"/>
      <c r="AJ182" s="50"/>
      <c r="AK182" s="50"/>
      <c r="AL182" s="50"/>
      <c r="AM182" s="50"/>
      <c r="AN182" s="50"/>
    </row>
    <row r="183" ht="15.75" customHeight="1">
      <c r="A183" s="33">
        <v>180.0</v>
      </c>
      <c r="B183" s="34"/>
      <c r="C183" s="50"/>
      <c r="D183" s="34"/>
      <c r="E183" s="34"/>
      <c r="F183" s="34"/>
      <c r="G183" s="34"/>
      <c r="H183" s="34"/>
      <c r="I183" s="34"/>
      <c r="J183" s="50"/>
      <c r="K183" s="34"/>
      <c r="L183" s="34"/>
      <c r="M183" s="34"/>
      <c r="N183" s="34"/>
      <c r="O183" s="50"/>
      <c r="P183" s="34"/>
      <c r="Q183" s="34"/>
      <c r="R183" s="34"/>
      <c r="S183" s="34"/>
      <c r="T183" s="50"/>
      <c r="U183" s="34"/>
      <c r="V183" s="34"/>
      <c r="W183" s="34"/>
      <c r="X183" s="34"/>
      <c r="Y183" s="50"/>
      <c r="Z183" s="34"/>
      <c r="AA183" s="34"/>
      <c r="AB183" s="34"/>
      <c r="AC183" s="34"/>
      <c r="AD183" s="50"/>
      <c r="AE183" s="34"/>
      <c r="AF183" s="34"/>
      <c r="AG183" s="34"/>
      <c r="AH183" s="34"/>
      <c r="AI183" s="50"/>
      <c r="AJ183" s="50"/>
      <c r="AK183" s="50"/>
      <c r="AL183" s="50"/>
      <c r="AM183" s="50"/>
      <c r="AN183" s="50"/>
    </row>
    <row r="184" ht="15.75" customHeight="1">
      <c r="A184" s="33">
        <v>181.0</v>
      </c>
      <c r="B184" s="34"/>
      <c r="C184" s="50"/>
      <c r="D184" s="34"/>
      <c r="E184" s="34"/>
      <c r="F184" s="34"/>
      <c r="G184" s="34"/>
      <c r="H184" s="34"/>
      <c r="I184" s="34"/>
      <c r="J184" s="50"/>
      <c r="K184" s="34"/>
      <c r="L184" s="34"/>
      <c r="M184" s="34"/>
      <c r="N184" s="34"/>
      <c r="O184" s="50"/>
      <c r="P184" s="34"/>
      <c r="Q184" s="34"/>
      <c r="R184" s="34"/>
      <c r="S184" s="34"/>
      <c r="T184" s="50"/>
      <c r="U184" s="34"/>
      <c r="V184" s="34"/>
      <c r="W184" s="34"/>
      <c r="X184" s="34"/>
      <c r="Y184" s="50"/>
      <c r="Z184" s="34"/>
      <c r="AA184" s="34"/>
      <c r="AB184" s="34"/>
      <c r="AC184" s="34"/>
      <c r="AD184" s="50"/>
      <c r="AE184" s="34"/>
      <c r="AF184" s="34"/>
      <c r="AG184" s="34"/>
      <c r="AH184" s="34"/>
      <c r="AI184" s="50"/>
      <c r="AJ184" s="50"/>
      <c r="AK184" s="50"/>
      <c r="AL184" s="50"/>
      <c r="AM184" s="50"/>
      <c r="AN184" s="50"/>
    </row>
    <row r="185" ht="15.75" customHeight="1">
      <c r="A185" s="33">
        <v>182.0</v>
      </c>
      <c r="B185" s="34"/>
      <c r="C185" s="50"/>
      <c r="D185" s="34"/>
      <c r="E185" s="34"/>
      <c r="F185" s="34"/>
      <c r="G185" s="34"/>
      <c r="H185" s="34"/>
      <c r="I185" s="34"/>
      <c r="J185" s="50"/>
      <c r="K185" s="34"/>
      <c r="L185" s="34"/>
      <c r="M185" s="34"/>
      <c r="N185" s="34"/>
      <c r="O185" s="50"/>
      <c r="P185" s="34"/>
      <c r="Q185" s="34"/>
      <c r="R185" s="34"/>
      <c r="S185" s="34"/>
      <c r="T185" s="50"/>
      <c r="U185" s="34"/>
      <c r="V185" s="34"/>
      <c r="W185" s="34"/>
      <c r="X185" s="34"/>
      <c r="Y185" s="50"/>
      <c r="Z185" s="34"/>
      <c r="AA185" s="34"/>
      <c r="AB185" s="34"/>
      <c r="AC185" s="34"/>
      <c r="AD185" s="50"/>
      <c r="AE185" s="34"/>
      <c r="AF185" s="34"/>
      <c r="AG185" s="34"/>
      <c r="AH185" s="34"/>
      <c r="AI185" s="50"/>
      <c r="AJ185" s="50"/>
      <c r="AK185" s="50"/>
      <c r="AL185" s="50"/>
      <c r="AM185" s="50"/>
      <c r="AN185" s="50"/>
    </row>
    <row r="186" ht="15.75" customHeight="1">
      <c r="A186" s="33">
        <v>183.0</v>
      </c>
      <c r="B186" s="34"/>
      <c r="C186" s="50"/>
      <c r="D186" s="34"/>
      <c r="E186" s="34"/>
      <c r="F186" s="34"/>
      <c r="G186" s="34"/>
      <c r="H186" s="34"/>
      <c r="I186" s="34"/>
      <c r="J186" s="50"/>
      <c r="K186" s="34"/>
      <c r="L186" s="34"/>
      <c r="M186" s="34"/>
      <c r="N186" s="34"/>
      <c r="O186" s="50"/>
      <c r="P186" s="34"/>
      <c r="Q186" s="34"/>
      <c r="R186" s="34"/>
      <c r="S186" s="34"/>
      <c r="T186" s="50"/>
      <c r="U186" s="34"/>
      <c r="V186" s="34"/>
      <c r="W186" s="34"/>
      <c r="X186" s="34"/>
      <c r="Y186" s="50"/>
      <c r="Z186" s="34"/>
      <c r="AA186" s="34"/>
      <c r="AB186" s="34"/>
      <c r="AC186" s="34"/>
      <c r="AD186" s="50"/>
      <c r="AE186" s="34"/>
      <c r="AF186" s="34"/>
      <c r="AG186" s="34"/>
      <c r="AH186" s="34"/>
      <c r="AI186" s="50"/>
      <c r="AJ186" s="50"/>
      <c r="AK186" s="50"/>
      <c r="AL186" s="50"/>
      <c r="AM186" s="50"/>
      <c r="AN186" s="50"/>
    </row>
    <row r="187" ht="15.75" customHeight="1">
      <c r="A187" s="33">
        <v>184.0</v>
      </c>
      <c r="B187" s="34"/>
      <c r="C187" s="50"/>
      <c r="D187" s="34"/>
      <c r="E187" s="34"/>
      <c r="F187" s="34"/>
      <c r="G187" s="34"/>
      <c r="H187" s="34"/>
      <c r="I187" s="34"/>
      <c r="J187" s="50"/>
      <c r="K187" s="34"/>
      <c r="L187" s="34"/>
      <c r="M187" s="34"/>
      <c r="N187" s="34"/>
      <c r="O187" s="50"/>
      <c r="P187" s="34"/>
      <c r="Q187" s="34"/>
      <c r="R187" s="34"/>
      <c r="S187" s="34"/>
      <c r="T187" s="50"/>
      <c r="U187" s="34"/>
      <c r="V187" s="34"/>
      <c r="W187" s="34"/>
      <c r="X187" s="34"/>
      <c r="Y187" s="50"/>
      <c r="Z187" s="34"/>
      <c r="AA187" s="34"/>
      <c r="AB187" s="34"/>
      <c r="AC187" s="34"/>
      <c r="AD187" s="50"/>
      <c r="AE187" s="34"/>
      <c r="AF187" s="34"/>
      <c r="AG187" s="34"/>
      <c r="AH187" s="34"/>
      <c r="AI187" s="50"/>
      <c r="AJ187" s="50"/>
      <c r="AK187" s="50"/>
      <c r="AL187" s="50"/>
      <c r="AM187" s="50"/>
      <c r="AN187" s="50"/>
    </row>
    <row r="188" ht="15.75" customHeight="1">
      <c r="A188" s="33">
        <v>185.0</v>
      </c>
      <c r="B188" s="34"/>
      <c r="C188" s="50"/>
      <c r="D188" s="34"/>
      <c r="E188" s="34"/>
      <c r="F188" s="34"/>
      <c r="G188" s="34"/>
      <c r="H188" s="34"/>
      <c r="I188" s="34"/>
      <c r="J188" s="50"/>
      <c r="K188" s="34"/>
      <c r="L188" s="34"/>
      <c r="M188" s="34"/>
      <c r="N188" s="34"/>
      <c r="O188" s="50"/>
      <c r="P188" s="34"/>
      <c r="Q188" s="34"/>
      <c r="R188" s="34"/>
      <c r="S188" s="34"/>
      <c r="T188" s="50"/>
      <c r="U188" s="34"/>
      <c r="V188" s="34"/>
      <c r="W188" s="34"/>
      <c r="X188" s="34"/>
      <c r="Y188" s="50"/>
      <c r="Z188" s="34"/>
      <c r="AA188" s="34"/>
      <c r="AB188" s="34"/>
      <c r="AC188" s="34"/>
      <c r="AD188" s="50"/>
      <c r="AE188" s="34"/>
      <c r="AF188" s="34"/>
      <c r="AG188" s="34"/>
      <c r="AH188" s="34"/>
      <c r="AI188" s="50"/>
      <c r="AJ188" s="50"/>
      <c r="AK188" s="50"/>
      <c r="AL188" s="50"/>
      <c r="AM188" s="50"/>
      <c r="AN188" s="50"/>
    </row>
    <row r="189" ht="15.75" customHeight="1">
      <c r="A189" s="33">
        <v>186.0</v>
      </c>
      <c r="B189" s="34"/>
      <c r="C189" s="50"/>
      <c r="D189" s="34"/>
      <c r="E189" s="34"/>
      <c r="F189" s="34"/>
      <c r="G189" s="34"/>
      <c r="H189" s="34"/>
      <c r="I189" s="34"/>
      <c r="J189" s="50"/>
      <c r="K189" s="34"/>
      <c r="L189" s="34"/>
      <c r="M189" s="34"/>
      <c r="N189" s="34"/>
      <c r="O189" s="50"/>
      <c r="P189" s="34"/>
      <c r="Q189" s="34"/>
      <c r="R189" s="34"/>
      <c r="S189" s="34"/>
      <c r="T189" s="50"/>
      <c r="U189" s="34"/>
      <c r="V189" s="34"/>
      <c r="W189" s="34"/>
      <c r="X189" s="34"/>
      <c r="Y189" s="50"/>
      <c r="Z189" s="34"/>
      <c r="AA189" s="34"/>
      <c r="AB189" s="34"/>
      <c r="AC189" s="34"/>
      <c r="AD189" s="50"/>
      <c r="AE189" s="34"/>
      <c r="AF189" s="34"/>
      <c r="AG189" s="34"/>
      <c r="AH189" s="34"/>
      <c r="AI189" s="50"/>
      <c r="AJ189" s="50"/>
      <c r="AK189" s="50"/>
      <c r="AL189" s="50"/>
      <c r="AM189" s="50"/>
      <c r="AN189" s="50"/>
    </row>
    <row r="190" ht="15.75" customHeight="1">
      <c r="A190" s="33">
        <v>187.0</v>
      </c>
      <c r="B190" s="34"/>
      <c r="C190" s="50"/>
      <c r="D190" s="34"/>
      <c r="E190" s="34"/>
      <c r="F190" s="34"/>
      <c r="G190" s="34"/>
      <c r="H190" s="34"/>
      <c r="I190" s="34"/>
      <c r="J190" s="50"/>
      <c r="K190" s="34"/>
      <c r="L190" s="34"/>
      <c r="M190" s="34"/>
      <c r="N190" s="34"/>
      <c r="O190" s="50"/>
      <c r="P190" s="34"/>
      <c r="Q190" s="34"/>
      <c r="R190" s="34"/>
      <c r="S190" s="34"/>
      <c r="T190" s="50"/>
      <c r="U190" s="34"/>
      <c r="V190" s="34"/>
      <c r="W190" s="34"/>
      <c r="X190" s="34"/>
      <c r="Y190" s="50"/>
      <c r="Z190" s="34"/>
      <c r="AA190" s="34"/>
      <c r="AB190" s="34"/>
      <c r="AC190" s="34"/>
      <c r="AD190" s="50"/>
      <c r="AE190" s="34"/>
      <c r="AF190" s="34"/>
      <c r="AG190" s="34"/>
      <c r="AH190" s="34"/>
      <c r="AI190" s="50"/>
      <c r="AJ190" s="50"/>
      <c r="AK190" s="50"/>
      <c r="AL190" s="50"/>
      <c r="AM190" s="50"/>
      <c r="AN190" s="50"/>
    </row>
    <row r="191" ht="15.75" customHeight="1">
      <c r="A191" s="33">
        <v>188.0</v>
      </c>
      <c r="B191" s="34"/>
      <c r="C191" s="50"/>
      <c r="D191" s="34"/>
      <c r="E191" s="34"/>
      <c r="F191" s="34"/>
      <c r="G191" s="34"/>
      <c r="H191" s="34"/>
      <c r="I191" s="34"/>
      <c r="J191" s="50"/>
      <c r="K191" s="34"/>
      <c r="L191" s="34"/>
      <c r="M191" s="34"/>
      <c r="N191" s="34"/>
      <c r="O191" s="50"/>
      <c r="P191" s="34"/>
      <c r="Q191" s="34"/>
      <c r="R191" s="34"/>
      <c r="S191" s="34"/>
      <c r="T191" s="50"/>
      <c r="U191" s="34"/>
      <c r="V191" s="34"/>
      <c r="W191" s="34"/>
      <c r="X191" s="34"/>
      <c r="Y191" s="50"/>
      <c r="Z191" s="34"/>
      <c r="AA191" s="34"/>
      <c r="AB191" s="34"/>
      <c r="AC191" s="34"/>
      <c r="AD191" s="50"/>
      <c r="AE191" s="34"/>
      <c r="AF191" s="34"/>
      <c r="AG191" s="34"/>
      <c r="AH191" s="34"/>
      <c r="AI191" s="50"/>
      <c r="AJ191" s="50"/>
      <c r="AK191" s="50"/>
      <c r="AL191" s="50"/>
      <c r="AM191" s="50"/>
      <c r="AN191" s="50"/>
    </row>
    <row r="192" ht="15.75" customHeight="1">
      <c r="A192" s="33">
        <v>189.0</v>
      </c>
      <c r="B192" s="34"/>
      <c r="C192" s="50"/>
      <c r="D192" s="34"/>
      <c r="E192" s="34"/>
      <c r="F192" s="34"/>
      <c r="G192" s="34"/>
      <c r="H192" s="34"/>
      <c r="I192" s="34"/>
      <c r="J192" s="50"/>
      <c r="K192" s="34"/>
      <c r="L192" s="34"/>
      <c r="M192" s="34"/>
      <c r="N192" s="34"/>
      <c r="O192" s="50"/>
      <c r="P192" s="34"/>
      <c r="Q192" s="34"/>
      <c r="R192" s="34"/>
      <c r="S192" s="34"/>
      <c r="T192" s="50"/>
      <c r="U192" s="34"/>
      <c r="V192" s="34"/>
      <c r="W192" s="34"/>
      <c r="X192" s="34"/>
      <c r="Y192" s="50"/>
      <c r="Z192" s="34"/>
      <c r="AA192" s="34"/>
      <c r="AB192" s="34"/>
      <c r="AC192" s="34"/>
      <c r="AD192" s="50"/>
      <c r="AE192" s="34"/>
      <c r="AF192" s="34"/>
      <c r="AG192" s="34"/>
      <c r="AH192" s="34"/>
      <c r="AI192" s="50"/>
      <c r="AJ192" s="50"/>
      <c r="AK192" s="50"/>
      <c r="AL192" s="50"/>
      <c r="AM192" s="50"/>
      <c r="AN192" s="50"/>
    </row>
    <row r="193" ht="15.75" customHeight="1">
      <c r="A193" s="33">
        <v>190.0</v>
      </c>
      <c r="B193" s="34"/>
      <c r="C193" s="50"/>
      <c r="D193" s="34"/>
      <c r="E193" s="34"/>
      <c r="F193" s="34"/>
      <c r="G193" s="34"/>
      <c r="H193" s="34"/>
      <c r="I193" s="34"/>
      <c r="J193" s="50"/>
      <c r="K193" s="34"/>
      <c r="L193" s="34"/>
      <c r="M193" s="34"/>
      <c r="N193" s="34"/>
      <c r="O193" s="50"/>
      <c r="P193" s="34"/>
      <c r="Q193" s="34"/>
      <c r="R193" s="34"/>
      <c r="S193" s="34"/>
      <c r="T193" s="50"/>
      <c r="U193" s="34"/>
      <c r="V193" s="34"/>
      <c r="W193" s="34"/>
      <c r="X193" s="34"/>
      <c r="Y193" s="50"/>
      <c r="Z193" s="34"/>
      <c r="AA193" s="34"/>
      <c r="AB193" s="34"/>
      <c r="AC193" s="34"/>
      <c r="AD193" s="50"/>
      <c r="AE193" s="34"/>
      <c r="AF193" s="34"/>
      <c r="AG193" s="34"/>
      <c r="AH193" s="34"/>
      <c r="AI193" s="50"/>
      <c r="AJ193" s="50"/>
      <c r="AK193" s="50"/>
      <c r="AL193" s="50"/>
      <c r="AM193" s="50"/>
      <c r="AN193" s="50"/>
    </row>
    <row r="194" ht="15.75" customHeight="1">
      <c r="A194" s="33">
        <v>191.0</v>
      </c>
      <c r="B194" s="34"/>
      <c r="C194" s="50"/>
      <c r="D194" s="34"/>
      <c r="E194" s="34"/>
      <c r="F194" s="34"/>
      <c r="G194" s="34"/>
      <c r="H194" s="34"/>
      <c r="I194" s="34"/>
      <c r="J194" s="50"/>
      <c r="K194" s="34"/>
      <c r="L194" s="34"/>
      <c r="M194" s="34"/>
      <c r="N194" s="34"/>
      <c r="O194" s="50"/>
      <c r="P194" s="34"/>
      <c r="Q194" s="34"/>
      <c r="R194" s="34"/>
      <c r="S194" s="34"/>
      <c r="T194" s="50"/>
      <c r="U194" s="34"/>
      <c r="V194" s="34"/>
      <c r="W194" s="34"/>
      <c r="X194" s="34"/>
      <c r="Y194" s="50"/>
      <c r="Z194" s="34"/>
      <c r="AA194" s="34"/>
      <c r="AB194" s="34"/>
      <c r="AC194" s="34"/>
      <c r="AD194" s="50"/>
      <c r="AE194" s="34"/>
      <c r="AF194" s="34"/>
      <c r="AG194" s="34"/>
      <c r="AH194" s="34"/>
      <c r="AI194" s="50"/>
      <c r="AJ194" s="50"/>
      <c r="AK194" s="50"/>
      <c r="AL194" s="50"/>
      <c r="AM194" s="50"/>
      <c r="AN194" s="50"/>
    </row>
    <row r="195" ht="15.75" customHeight="1">
      <c r="A195" s="33">
        <v>192.0</v>
      </c>
      <c r="B195" s="34"/>
      <c r="C195" s="50"/>
      <c r="D195" s="34"/>
      <c r="E195" s="34"/>
      <c r="F195" s="34"/>
      <c r="G195" s="34"/>
      <c r="H195" s="34"/>
      <c r="I195" s="34"/>
      <c r="J195" s="50"/>
      <c r="K195" s="34"/>
      <c r="L195" s="34"/>
      <c r="M195" s="34"/>
      <c r="N195" s="34"/>
      <c r="O195" s="50"/>
      <c r="P195" s="34"/>
      <c r="Q195" s="34"/>
      <c r="R195" s="34"/>
      <c r="S195" s="34"/>
      <c r="T195" s="50"/>
      <c r="U195" s="34"/>
      <c r="V195" s="34"/>
      <c r="W195" s="34"/>
      <c r="X195" s="34"/>
      <c r="Y195" s="50"/>
      <c r="Z195" s="34"/>
      <c r="AA195" s="34"/>
      <c r="AB195" s="34"/>
      <c r="AC195" s="34"/>
      <c r="AD195" s="50"/>
      <c r="AE195" s="34"/>
      <c r="AF195" s="34"/>
      <c r="AG195" s="34"/>
      <c r="AH195" s="34"/>
      <c r="AI195" s="50"/>
      <c r="AJ195" s="50"/>
      <c r="AK195" s="50"/>
      <c r="AL195" s="50"/>
      <c r="AM195" s="50"/>
      <c r="AN195" s="50"/>
    </row>
    <row r="196" ht="15.75" customHeight="1">
      <c r="A196" s="33">
        <v>193.0</v>
      </c>
      <c r="B196" s="34"/>
      <c r="C196" s="50"/>
      <c r="D196" s="34"/>
      <c r="E196" s="34"/>
      <c r="F196" s="34"/>
      <c r="G196" s="34"/>
      <c r="H196" s="34"/>
      <c r="I196" s="34"/>
      <c r="J196" s="50"/>
      <c r="K196" s="34"/>
      <c r="L196" s="34"/>
      <c r="M196" s="34"/>
      <c r="N196" s="34"/>
      <c r="O196" s="50"/>
      <c r="P196" s="34"/>
      <c r="Q196" s="34"/>
      <c r="R196" s="34"/>
      <c r="S196" s="34"/>
      <c r="T196" s="50"/>
      <c r="U196" s="34"/>
      <c r="V196" s="34"/>
      <c r="W196" s="34"/>
      <c r="X196" s="34"/>
      <c r="Y196" s="50"/>
      <c r="Z196" s="34"/>
      <c r="AA196" s="34"/>
      <c r="AB196" s="34"/>
      <c r="AC196" s="34"/>
      <c r="AD196" s="50"/>
      <c r="AE196" s="34"/>
      <c r="AF196" s="34"/>
      <c r="AG196" s="34"/>
      <c r="AH196" s="34"/>
      <c r="AI196" s="50"/>
      <c r="AJ196" s="50"/>
      <c r="AK196" s="50"/>
      <c r="AL196" s="50"/>
      <c r="AM196" s="50"/>
      <c r="AN196" s="50"/>
    </row>
    <row r="197" ht="15.75" customHeight="1">
      <c r="A197" s="33">
        <v>194.0</v>
      </c>
      <c r="B197" s="34"/>
      <c r="C197" s="50"/>
      <c r="D197" s="34"/>
      <c r="E197" s="34"/>
      <c r="F197" s="34"/>
      <c r="G197" s="34"/>
      <c r="H197" s="34"/>
      <c r="I197" s="34"/>
      <c r="J197" s="50"/>
      <c r="K197" s="34"/>
      <c r="L197" s="34"/>
      <c r="M197" s="34"/>
      <c r="N197" s="34"/>
      <c r="O197" s="50"/>
      <c r="P197" s="34"/>
      <c r="Q197" s="34"/>
      <c r="R197" s="34"/>
      <c r="S197" s="34"/>
      <c r="T197" s="50"/>
      <c r="U197" s="34"/>
      <c r="V197" s="34"/>
      <c r="W197" s="34"/>
      <c r="X197" s="34"/>
      <c r="Y197" s="50"/>
      <c r="Z197" s="34"/>
      <c r="AA197" s="34"/>
      <c r="AB197" s="34"/>
      <c r="AC197" s="34"/>
      <c r="AD197" s="50"/>
      <c r="AE197" s="34"/>
      <c r="AF197" s="34"/>
      <c r="AG197" s="34"/>
      <c r="AH197" s="34"/>
      <c r="AI197" s="50"/>
      <c r="AJ197" s="50"/>
      <c r="AK197" s="50"/>
      <c r="AL197" s="50"/>
      <c r="AM197" s="50"/>
      <c r="AN197" s="50"/>
    </row>
    <row r="198" ht="15.75" customHeight="1">
      <c r="A198" s="33">
        <v>195.0</v>
      </c>
      <c r="B198" s="34"/>
      <c r="C198" s="50"/>
      <c r="D198" s="34"/>
      <c r="E198" s="34"/>
      <c r="F198" s="34"/>
      <c r="G198" s="34"/>
      <c r="H198" s="34"/>
      <c r="I198" s="34"/>
      <c r="J198" s="50"/>
      <c r="K198" s="34"/>
      <c r="L198" s="34"/>
      <c r="M198" s="34"/>
      <c r="N198" s="34"/>
      <c r="O198" s="50"/>
      <c r="P198" s="34"/>
      <c r="Q198" s="34"/>
      <c r="R198" s="34"/>
      <c r="S198" s="34"/>
      <c r="T198" s="50"/>
      <c r="U198" s="34"/>
      <c r="V198" s="34"/>
      <c r="W198" s="34"/>
      <c r="X198" s="34"/>
      <c r="Y198" s="50"/>
      <c r="Z198" s="34"/>
      <c r="AA198" s="34"/>
      <c r="AB198" s="34"/>
      <c r="AC198" s="34"/>
      <c r="AD198" s="50"/>
      <c r="AE198" s="34"/>
      <c r="AF198" s="34"/>
      <c r="AG198" s="34"/>
      <c r="AH198" s="34"/>
      <c r="AI198" s="50"/>
      <c r="AJ198" s="50"/>
      <c r="AK198" s="50"/>
      <c r="AL198" s="50"/>
      <c r="AM198" s="50"/>
      <c r="AN198" s="50"/>
    </row>
    <row r="199" ht="15.75" customHeight="1">
      <c r="A199" s="33">
        <v>196.0</v>
      </c>
      <c r="B199" s="34"/>
      <c r="C199" s="50"/>
      <c r="D199" s="34"/>
      <c r="E199" s="34"/>
      <c r="F199" s="34"/>
      <c r="G199" s="34"/>
      <c r="H199" s="34"/>
      <c r="I199" s="34"/>
      <c r="J199" s="50"/>
      <c r="K199" s="34"/>
      <c r="L199" s="34"/>
      <c r="M199" s="34"/>
      <c r="N199" s="34"/>
      <c r="O199" s="50"/>
      <c r="P199" s="34"/>
      <c r="Q199" s="34"/>
      <c r="R199" s="34"/>
      <c r="S199" s="34"/>
      <c r="T199" s="50"/>
      <c r="U199" s="34"/>
      <c r="V199" s="34"/>
      <c r="W199" s="34"/>
      <c r="X199" s="34"/>
      <c r="Y199" s="50"/>
      <c r="Z199" s="34"/>
      <c r="AA199" s="34"/>
      <c r="AB199" s="34"/>
      <c r="AC199" s="34"/>
      <c r="AD199" s="50"/>
      <c r="AE199" s="34"/>
      <c r="AF199" s="34"/>
      <c r="AG199" s="34"/>
      <c r="AH199" s="34"/>
      <c r="AI199" s="50"/>
      <c r="AJ199" s="50"/>
      <c r="AK199" s="50"/>
      <c r="AL199" s="50"/>
      <c r="AM199" s="50"/>
      <c r="AN199" s="50"/>
    </row>
    <row r="200" ht="15.75" customHeight="1">
      <c r="A200" s="33">
        <v>197.0</v>
      </c>
      <c r="B200" s="34"/>
      <c r="C200" s="50"/>
      <c r="D200" s="34"/>
      <c r="E200" s="34"/>
      <c r="F200" s="34"/>
      <c r="G200" s="34"/>
      <c r="H200" s="34"/>
      <c r="I200" s="34"/>
      <c r="J200" s="50"/>
      <c r="K200" s="34"/>
      <c r="L200" s="34"/>
      <c r="M200" s="34"/>
      <c r="N200" s="34"/>
      <c r="O200" s="50"/>
      <c r="P200" s="34"/>
      <c r="Q200" s="34"/>
      <c r="R200" s="34"/>
      <c r="S200" s="34"/>
      <c r="T200" s="50"/>
      <c r="U200" s="34"/>
      <c r="V200" s="34"/>
      <c r="W200" s="34"/>
      <c r="X200" s="34"/>
      <c r="Y200" s="50"/>
      <c r="Z200" s="34"/>
      <c r="AA200" s="34"/>
      <c r="AB200" s="34"/>
      <c r="AC200" s="34"/>
      <c r="AD200" s="50"/>
      <c r="AE200" s="34"/>
      <c r="AF200" s="34"/>
      <c r="AG200" s="34"/>
      <c r="AH200" s="34"/>
      <c r="AI200" s="50"/>
      <c r="AJ200" s="50"/>
      <c r="AK200" s="50"/>
      <c r="AL200" s="50"/>
      <c r="AM200" s="50"/>
      <c r="AN200" s="50"/>
    </row>
    <row r="201" ht="15.75" customHeight="1">
      <c r="A201" s="33">
        <v>198.0</v>
      </c>
      <c r="B201" s="34"/>
      <c r="C201" s="50"/>
      <c r="D201" s="34"/>
      <c r="E201" s="34"/>
      <c r="F201" s="34"/>
      <c r="G201" s="34"/>
      <c r="H201" s="34"/>
      <c r="I201" s="34"/>
      <c r="J201" s="50"/>
      <c r="K201" s="34"/>
      <c r="L201" s="34"/>
      <c r="M201" s="34"/>
      <c r="N201" s="34"/>
      <c r="O201" s="50"/>
      <c r="P201" s="34"/>
      <c r="Q201" s="34"/>
      <c r="R201" s="34"/>
      <c r="S201" s="34"/>
      <c r="T201" s="50"/>
      <c r="U201" s="34"/>
      <c r="V201" s="34"/>
      <c r="W201" s="34"/>
      <c r="X201" s="34"/>
      <c r="Y201" s="50"/>
      <c r="Z201" s="34"/>
      <c r="AA201" s="34"/>
      <c r="AB201" s="34"/>
      <c r="AC201" s="34"/>
      <c r="AD201" s="50"/>
      <c r="AE201" s="34"/>
      <c r="AF201" s="34"/>
      <c r="AG201" s="34"/>
      <c r="AH201" s="34"/>
      <c r="AI201" s="50"/>
      <c r="AJ201" s="50"/>
      <c r="AK201" s="50"/>
      <c r="AL201" s="50"/>
      <c r="AM201" s="50"/>
      <c r="AN201" s="50"/>
    </row>
    <row r="202" ht="15.75" customHeight="1">
      <c r="A202" s="33">
        <v>199.0</v>
      </c>
      <c r="B202" s="34"/>
      <c r="C202" s="50"/>
      <c r="D202" s="34"/>
      <c r="E202" s="34"/>
      <c r="F202" s="34"/>
      <c r="G202" s="34"/>
      <c r="H202" s="34"/>
      <c r="I202" s="34"/>
      <c r="J202" s="50"/>
      <c r="K202" s="34"/>
      <c r="L202" s="34"/>
      <c r="M202" s="34"/>
      <c r="N202" s="34"/>
      <c r="O202" s="50"/>
      <c r="P202" s="34"/>
      <c r="Q202" s="34"/>
      <c r="R202" s="34"/>
      <c r="S202" s="34"/>
      <c r="T202" s="50"/>
      <c r="U202" s="34"/>
      <c r="V202" s="34"/>
      <c r="W202" s="34"/>
      <c r="X202" s="34"/>
      <c r="Y202" s="50"/>
      <c r="Z202" s="34"/>
      <c r="AA202" s="34"/>
      <c r="AB202" s="34"/>
      <c r="AC202" s="34"/>
      <c r="AD202" s="50"/>
      <c r="AE202" s="34"/>
      <c r="AF202" s="34"/>
      <c r="AG202" s="34"/>
      <c r="AH202" s="34"/>
      <c r="AI202" s="50"/>
      <c r="AJ202" s="50"/>
      <c r="AK202" s="50"/>
      <c r="AL202" s="50"/>
      <c r="AM202" s="50"/>
      <c r="AN202" s="50"/>
    </row>
    <row r="203" ht="15.75" customHeight="1">
      <c r="A203" s="33">
        <v>200.0</v>
      </c>
      <c r="B203" s="34"/>
      <c r="C203" s="50"/>
      <c r="D203" s="34"/>
      <c r="E203" s="34"/>
      <c r="F203" s="34"/>
      <c r="G203" s="34"/>
      <c r="H203" s="34"/>
      <c r="I203" s="34"/>
      <c r="J203" s="50"/>
      <c r="K203" s="34"/>
      <c r="L203" s="34"/>
      <c r="M203" s="34"/>
      <c r="N203" s="34"/>
      <c r="O203" s="50"/>
      <c r="P203" s="34"/>
      <c r="Q203" s="34"/>
      <c r="R203" s="34"/>
      <c r="S203" s="34"/>
      <c r="T203" s="50"/>
      <c r="U203" s="34"/>
      <c r="V203" s="34"/>
      <c r="W203" s="34"/>
      <c r="X203" s="34"/>
      <c r="Y203" s="50"/>
      <c r="Z203" s="34"/>
      <c r="AA203" s="34"/>
      <c r="AB203" s="34"/>
      <c r="AC203" s="34"/>
      <c r="AD203" s="50"/>
      <c r="AE203" s="34"/>
      <c r="AF203" s="34"/>
      <c r="AG203" s="34"/>
      <c r="AH203" s="34"/>
      <c r="AI203" s="50"/>
      <c r="AJ203" s="50"/>
      <c r="AK203" s="50"/>
      <c r="AL203" s="50"/>
      <c r="AM203" s="50"/>
      <c r="AN203" s="50"/>
    </row>
    <row r="204" ht="15.75" customHeight="1">
      <c r="A204" s="33">
        <v>201.0</v>
      </c>
      <c r="B204" s="34"/>
      <c r="C204" s="50"/>
      <c r="D204" s="34"/>
      <c r="E204" s="34"/>
      <c r="F204" s="34"/>
      <c r="G204" s="34"/>
      <c r="H204" s="34"/>
      <c r="I204" s="34"/>
      <c r="J204" s="50"/>
      <c r="K204" s="34"/>
      <c r="L204" s="34"/>
      <c r="M204" s="34"/>
      <c r="N204" s="34"/>
      <c r="O204" s="50"/>
      <c r="P204" s="34"/>
      <c r="Q204" s="34"/>
      <c r="R204" s="34"/>
      <c r="S204" s="34"/>
      <c r="T204" s="50"/>
      <c r="U204" s="34"/>
      <c r="V204" s="34"/>
      <c r="W204" s="34"/>
      <c r="X204" s="34"/>
      <c r="Y204" s="50"/>
      <c r="Z204" s="34"/>
      <c r="AA204" s="34"/>
      <c r="AB204" s="34"/>
      <c r="AC204" s="34"/>
      <c r="AD204" s="50"/>
      <c r="AE204" s="34"/>
      <c r="AF204" s="34"/>
      <c r="AG204" s="34"/>
      <c r="AH204" s="34"/>
      <c r="AI204" s="50"/>
      <c r="AJ204" s="50"/>
      <c r="AK204" s="50"/>
      <c r="AL204" s="50"/>
      <c r="AM204" s="50"/>
      <c r="AN204" s="50"/>
    </row>
    <row r="205" ht="15.75" customHeight="1">
      <c r="A205" s="33">
        <v>202.0</v>
      </c>
      <c r="B205" s="34"/>
      <c r="C205" s="50"/>
      <c r="D205" s="34"/>
      <c r="E205" s="34"/>
      <c r="F205" s="34"/>
      <c r="G205" s="34"/>
      <c r="H205" s="34"/>
      <c r="I205" s="34"/>
      <c r="J205" s="50"/>
      <c r="K205" s="34"/>
      <c r="L205" s="34"/>
      <c r="M205" s="34"/>
      <c r="N205" s="34"/>
      <c r="O205" s="50"/>
      <c r="P205" s="34"/>
      <c r="Q205" s="34"/>
      <c r="R205" s="34"/>
      <c r="S205" s="34"/>
      <c r="T205" s="50"/>
      <c r="U205" s="34"/>
      <c r="V205" s="34"/>
      <c r="W205" s="34"/>
      <c r="X205" s="34"/>
      <c r="Y205" s="50"/>
      <c r="Z205" s="34"/>
      <c r="AA205" s="34"/>
      <c r="AB205" s="34"/>
      <c r="AC205" s="34"/>
      <c r="AD205" s="50"/>
      <c r="AE205" s="34"/>
      <c r="AF205" s="34"/>
      <c r="AG205" s="34"/>
      <c r="AH205" s="34"/>
      <c r="AI205" s="50"/>
      <c r="AJ205" s="50"/>
      <c r="AK205" s="50"/>
      <c r="AL205" s="50"/>
      <c r="AM205" s="50"/>
      <c r="AN205" s="50"/>
    </row>
    <row r="206" ht="15.75" customHeight="1">
      <c r="A206" s="33">
        <v>203.0</v>
      </c>
      <c r="B206" s="34"/>
      <c r="C206" s="50"/>
      <c r="D206" s="34"/>
      <c r="E206" s="34"/>
      <c r="F206" s="34"/>
      <c r="G206" s="34"/>
      <c r="H206" s="34"/>
      <c r="I206" s="34"/>
      <c r="J206" s="50"/>
      <c r="K206" s="34"/>
      <c r="L206" s="34"/>
      <c r="M206" s="34"/>
      <c r="N206" s="34"/>
      <c r="O206" s="50"/>
      <c r="P206" s="34"/>
      <c r="Q206" s="34"/>
      <c r="R206" s="34"/>
      <c r="S206" s="34"/>
      <c r="T206" s="50"/>
      <c r="U206" s="34"/>
      <c r="V206" s="34"/>
      <c r="W206" s="34"/>
      <c r="X206" s="34"/>
      <c r="Y206" s="50"/>
      <c r="Z206" s="34"/>
      <c r="AA206" s="34"/>
      <c r="AB206" s="34"/>
      <c r="AC206" s="34"/>
      <c r="AD206" s="50"/>
      <c r="AE206" s="34"/>
      <c r="AF206" s="34"/>
      <c r="AG206" s="34"/>
      <c r="AH206" s="34"/>
      <c r="AI206" s="50"/>
      <c r="AJ206" s="50"/>
      <c r="AK206" s="50"/>
      <c r="AL206" s="50"/>
      <c r="AM206" s="50"/>
      <c r="AN206" s="50"/>
    </row>
    <row r="207" ht="15.75" customHeight="1">
      <c r="A207" s="33">
        <v>204.0</v>
      </c>
      <c r="B207" s="34"/>
      <c r="C207" s="50"/>
      <c r="D207" s="34"/>
      <c r="E207" s="34"/>
      <c r="F207" s="34"/>
      <c r="G207" s="34"/>
      <c r="H207" s="34"/>
      <c r="I207" s="34"/>
      <c r="J207" s="50"/>
      <c r="K207" s="34"/>
      <c r="L207" s="34"/>
      <c r="M207" s="34"/>
      <c r="N207" s="34"/>
      <c r="O207" s="50"/>
      <c r="P207" s="34"/>
      <c r="Q207" s="34"/>
      <c r="R207" s="34"/>
      <c r="S207" s="34"/>
      <c r="T207" s="50"/>
      <c r="U207" s="34"/>
      <c r="V207" s="34"/>
      <c r="W207" s="34"/>
      <c r="X207" s="34"/>
      <c r="Y207" s="50"/>
      <c r="Z207" s="34"/>
      <c r="AA207" s="34"/>
      <c r="AB207" s="34"/>
      <c r="AC207" s="34"/>
      <c r="AD207" s="50"/>
      <c r="AE207" s="34"/>
      <c r="AF207" s="34"/>
      <c r="AG207" s="34"/>
      <c r="AH207" s="34"/>
      <c r="AI207" s="50"/>
      <c r="AJ207" s="50"/>
      <c r="AK207" s="50"/>
      <c r="AL207" s="50"/>
      <c r="AM207" s="50"/>
      <c r="AN207" s="50"/>
    </row>
    <row r="208" ht="15.75" customHeight="1">
      <c r="A208" s="33">
        <v>205.0</v>
      </c>
      <c r="B208" s="34"/>
      <c r="C208" s="50"/>
      <c r="D208" s="34"/>
      <c r="E208" s="34"/>
      <c r="F208" s="34"/>
      <c r="G208" s="34"/>
      <c r="H208" s="34"/>
      <c r="I208" s="34"/>
      <c r="J208" s="50"/>
      <c r="K208" s="34"/>
      <c r="L208" s="34"/>
      <c r="M208" s="34"/>
      <c r="N208" s="34"/>
      <c r="O208" s="50"/>
      <c r="P208" s="34"/>
      <c r="Q208" s="34"/>
      <c r="R208" s="34"/>
      <c r="S208" s="34"/>
      <c r="T208" s="50"/>
      <c r="U208" s="34"/>
      <c r="V208" s="34"/>
      <c r="W208" s="34"/>
      <c r="X208" s="34"/>
      <c r="Y208" s="50"/>
      <c r="Z208" s="34"/>
      <c r="AA208" s="34"/>
      <c r="AB208" s="34"/>
      <c r="AC208" s="34"/>
      <c r="AD208" s="50"/>
      <c r="AE208" s="34"/>
      <c r="AF208" s="34"/>
      <c r="AG208" s="34"/>
      <c r="AH208" s="34"/>
      <c r="AI208" s="50"/>
      <c r="AJ208" s="50"/>
      <c r="AK208" s="50"/>
      <c r="AL208" s="50"/>
      <c r="AM208" s="50"/>
      <c r="AN208" s="50"/>
    </row>
    <row r="209" ht="15.75" customHeight="1">
      <c r="A209" s="33">
        <v>206.0</v>
      </c>
      <c r="B209" s="34"/>
      <c r="C209" s="50"/>
      <c r="D209" s="34"/>
      <c r="E209" s="34"/>
      <c r="F209" s="34"/>
      <c r="G209" s="34"/>
      <c r="H209" s="34"/>
      <c r="I209" s="34"/>
      <c r="J209" s="50"/>
      <c r="K209" s="34"/>
      <c r="L209" s="34"/>
      <c r="M209" s="34"/>
      <c r="N209" s="34"/>
      <c r="O209" s="50"/>
      <c r="P209" s="34"/>
      <c r="Q209" s="34"/>
      <c r="R209" s="34"/>
      <c r="S209" s="34"/>
      <c r="T209" s="50"/>
      <c r="U209" s="34"/>
      <c r="V209" s="34"/>
      <c r="W209" s="34"/>
      <c r="X209" s="34"/>
      <c r="Y209" s="50"/>
      <c r="Z209" s="34"/>
      <c r="AA209" s="34"/>
      <c r="AB209" s="34"/>
      <c r="AC209" s="34"/>
      <c r="AD209" s="50"/>
      <c r="AE209" s="34"/>
      <c r="AF209" s="34"/>
      <c r="AG209" s="34"/>
      <c r="AH209" s="34"/>
      <c r="AI209" s="50"/>
      <c r="AJ209" s="50"/>
      <c r="AK209" s="50"/>
      <c r="AL209" s="50"/>
      <c r="AM209" s="50"/>
      <c r="AN209" s="50"/>
    </row>
    <row r="210" ht="15.75" customHeight="1">
      <c r="A210" s="33">
        <v>207.0</v>
      </c>
      <c r="B210" s="34"/>
      <c r="C210" s="50"/>
      <c r="D210" s="34"/>
      <c r="E210" s="34"/>
      <c r="F210" s="34"/>
      <c r="G210" s="34"/>
      <c r="H210" s="34"/>
      <c r="I210" s="34"/>
      <c r="J210" s="50"/>
      <c r="K210" s="34"/>
      <c r="L210" s="34"/>
      <c r="M210" s="34"/>
      <c r="N210" s="34"/>
      <c r="O210" s="50"/>
      <c r="P210" s="34"/>
      <c r="Q210" s="34"/>
      <c r="R210" s="34"/>
      <c r="S210" s="34"/>
      <c r="T210" s="50"/>
      <c r="U210" s="34"/>
      <c r="V210" s="34"/>
      <c r="W210" s="34"/>
      <c r="X210" s="34"/>
      <c r="Y210" s="50"/>
      <c r="Z210" s="34"/>
      <c r="AA210" s="34"/>
      <c r="AB210" s="34"/>
      <c r="AC210" s="34"/>
      <c r="AD210" s="50"/>
      <c r="AE210" s="34"/>
      <c r="AF210" s="34"/>
      <c r="AG210" s="34"/>
      <c r="AH210" s="34"/>
      <c r="AI210" s="50"/>
      <c r="AJ210" s="50"/>
      <c r="AK210" s="50"/>
      <c r="AL210" s="50"/>
      <c r="AM210" s="50"/>
      <c r="AN210" s="50"/>
    </row>
    <row r="211" ht="15.75" customHeight="1">
      <c r="A211" s="33">
        <v>208.0</v>
      </c>
      <c r="B211" s="34"/>
      <c r="C211" s="50"/>
      <c r="D211" s="34"/>
      <c r="E211" s="34"/>
      <c r="F211" s="34"/>
      <c r="G211" s="34"/>
      <c r="H211" s="34"/>
      <c r="I211" s="34"/>
      <c r="J211" s="50"/>
      <c r="K211" s="34"/>
      <c r="L211" s="34"/>
      <c r="M211" s="34"/>
      <c r="N211" s="34"/>
      <c r="O211" s="50"/>
      <c r="P211" s="34"/>
      <c r="Q211" s="34"/>
      <c r="R211" s="34"/>
      <c r="S211" s="34"/>
      <c r="T211" s="50"/>
      <c r="U211" s="34"/>
      <c r="V211" s="34"/>
      <c r="W211" s="34"/>
      <c r="X211" s="34"/>
      <c r="Y211" s="50"/>
      <c r="Z211" s="34"/>
      <c r="AA211" s="34"/>
      <c r="AB211" s="34"/>
      <c r="AC211" s="34"/>
      <c r="AD211" s="50"/>
      <c r="AE211" s="34"/>
      <c r="AF211" s="34"/>
      <c r="AG211" s="34"/>
      <c r="AH211" s="34"/>
      <c r="AI211" s="50"/>
      <c r="AJ211" s="50"/>
      <c r="AK211" s="50"/>
      <c r="AL211" s="50"/>
      <c r="AM211" s="50"/>
      <c r="AN211" s="50"/>
    </row>
    <row r="212" ht="15.75" customHeight="1">
      <c r="A212" s="33">
        <v>209.0</v>
      </c>
      <c r="B212" s="34"/>
      <c r="C212" s="50"/>
      <c r="D212" s="34"/>
      <c r="E212" s="34"/>
      <c r="F212" s="34"/>
      <c r="G212" s="34"/>
      <c r="H212" s="34"/>
      <c r="I212" s="34"/>
      <c r="J212" s="50"/>
      <c r="K212" s="34"/>
      <c r="L212" s="34"/>
      <c r="M212" s="34"/>
      <c r="N212" s="34"/>
      <c r="O212" s="50"/>
      <c r="P212" s="34"/>
      <c r="Q212" s="34"/>
      <c r="R212" s="34"/>
      <c r="S212" s="34"/>
      <c r="T212" s="50"/>
      <c r="U212" s="34"/>
      <c r="V212" s="34"/>
      <c r="W212" s="34"/>
      <c r="X212" s="34"/>
      <c r="Y212" s="50"/>
      <c r="Z212" s="34"/>
      <c r="AA212" s="34"/>
      <c r="AB212" s="34"/>
      <c r="AC212" s="34"/>
      <c r="AD212" s="50"/>
      <c r="AE212" s="34"/>
      <c r="AF212" s="34"/>
      <c r="AG212" s="34"/>
      <c r="AH212" s="34"/>
      <c r="AI212" s="50"/>
      <c r="AJ212" s="50"/>
      <c r="AK212" s="50"/>
      <c r="AL212" s="50"/>
      <c r="AM212" s="50"/>
      <c r="AN212" s="50"/>
    </row>
    <row r="213" ht="15.75" customHeight="1">
      <c r="A213" s="33">
        <v>210.0</v>
      </c>
      <c r="B213" s="34"/>
      <c r="C213" s="50"/>
      <c r="D213" s="34"/>
      <c r="E213" s="34"/>
      <c r="F213" s="34"/>
      <c r="G213" s="34"/>
      <c r="H213" s="34"/>
      <c r="I213" s="34"/>
      <c r="J213" s="50"/>
      <c r="K213" s="34"/>
      <c r="L213" s="34"/>
      <c r="M213" s="34"/>
      <c r="N213" s="34"/>
      <c r="O213" s="50"/>
      <c r="P213" s="34"/>
      <c r="Q213" s="34"/>
      <c r="R213" s="34"/>
      <c r="S213" s="34"/>
      <c r="T213" s="50"/>
      <c r="U213" s="34"/>
      <c r="V213" s="34"/>
      <c r="W213" s="34"/>
      <c r="X213" s="34"/>
      <c r="Y213" s="50"/>
      <c r="Z213" s="34"/>
      <c r="AA213" s="34"/>
      <c r="AB213" s="34"/>
      <c r="AC213" s="34"/>
      <c r="AD213" s="50"/>
      <c r="AE213" s="34"/>
      <c r="AF213" s="34"/>
      <c r="AG213" s="34"/>
      <c r="AH213" s="34"/>
      <c r="AI213" s="50"/>
      <c r="AJ213" s="50"/>
      <c r="AK213" s="50"/>
      <c r="AL213" s="50"/>
      <c r="AM213" s="50"/>
      <c r="AN213" s="50"/>
    </row>
    <row r="214" ht="15.75" customHeight="1">
      <c r="A214" s="33">
        <v>211.0</v>
      </c>
      <c r="B214" s="34"/>
      <c r="C214" s="50"/>
      <c r="D214" s="34"/>
      <c r="E214" s="34"/>
      <c r="F214" s="34"/>
      <c r="G214" s="34"/>
      <c r="H214" s="34"/>
      <c r="I214" s="34"/>
      <c r="J214" s="50"/>
      <c r="K214" s="34"/>
      <c r="L214" s="34"/>
      <c r="M214" s="34"/>
      <c r="N214" s="34"/>
      <c r="O214" s="50"/>
      <c r="P214" s="34"/>
      <c r="Q214" s="34"/>
      <c r="R214" s="34"/>
      <c r="S214" s="34"/>
      <c r="T214" s="50"/>
      <c r="U214" s="34"/>
      <c r="V214" s="34"/>
      <c r="W214" s="34"/>
      <c r="X214" s="34"/>
      <c r="Y214" s="50"/>
      <c r="Z214" s="34"/>
      <c r="AA214" s="34"/>
      <c r="AB214" s="34"/>
      <c r="AC214" s="34"/>
      <c r="AD214" s="50"/>
      <c r="AE214" s="34"/>
      <c r="AF214" s="34"/>
      <c r="AG214" s="34"/>
      <c r="AH214" s="34"/>
      <c r="AI214" s="50"/>
      <c r="AJ214" s="50"/>
      <c r="AK214" s="50"/>
      <c r="AL214" s="50"/>
      <c r="AM214" s="50"/>
      <c r="AN214" s="50"/>
    </row>
    <row r="215" ht="15.75" customHeight="1">
      <c r="A215" s="33">
        <v>212.0</v>
      </c>
      <c r="B215" s="34"/>
      <c r="C215" s="50"/>
      <c r="D215" s="34"/>
      <c r="E215" s="34"/>
      <c r="F215" s="34"/>
      <c r="G215" s="34"/>
      <c r="H215" s="34"/>
      <c r="I215" s="34"/>
      <c r="J215" s="50"/>
      <c r="K215" s="34"/>
      <c r="L215" s="34"/>
      <c r="M215" s="34"/>
      <c r="N215" s="34"/>
      <c r="O215" s="50"/>
      <c r="P215" s="34"/>
      <c r="Q215" s="34"/>
      <c r="R215" s="34"/>
      <c r="S215" s="34"/>
      <c r="T215" s="50"/>
      <c r="U215" s="34"/>
      <c r="V215" s="34"/>
      <c r="W215" s="34"/>
      <c r="X215" s="34"/>
      <c r="Y215" s="50"/>
      <c r="Z215" s="34"/>
      <c r="AA215" s="34"/>
      <c r="AB215" s="34"/>
      <c r="AC215" s="34"/>
      <c r="AD215" s="50"/>
      <c r="AE215" s="34"/>
      <c r="AF215" s="34"/>
      <c r="AG215" s="34"/>
      <c r="AH215" s="34"/>
      <c r="AI215" s="50"/>
      <c r="AJ215" s="50"/>
      <c r="AK215" s="50"/>
      <c r="AL215" s="50"/>
      <c r="AM215" s="50"/>
      <c r="AN215" s="50"/>
    </row>
    <row r="216" ht="15.75" customHeight="1">
      <c r="A216" s="33">
        <v>213.0</v>
      </c>
      <c r="B216" s="34"/>
      <c r="C216" s="50"/>
      <c r="D216" s="34"/>
      <c r="E216" s="34"/>
      <c r="F216" s="34"/>
      <c r="G216" s="34"/>
      <c r="H216" s="34"/>
      <c r="I216" s="34"/>
      <c r="J216" s="50"/>
      <c r="K216" s="34"/>
      <c r="L216" s="34"/>
      <c r="M216" s="34"/>
      <c r="N216" s="34"/>
      <c r="O216" s="50"/>
      <c r="P216" s="34"/>
      <c r="Q216" s="34"/>
      <c r="R216" s="34"/>
      <c r="S216" s="34"/>
      <c r="T216" s="50"/>
      <c r="U216" s="34"/>
      <c r="V216" s="34"/>
      <c r="W216" s="34"/>
      <c r="X216" s="34"/>
      <c r="Y216" s="50"/>
      <c r="Z216" s="34"/>
      <c r="AA216" s="34"/>
      <c r="AB216" s="34"/>
      <c r="AC216" s="34"/>
      <c r="AD216" s="50"/>
      <c r="AE216" s="34"/>
      <c r="AF216" s="34"/>
      <c r="AG216" s="34"/>
      <c r="AH216" s="34"/>
      <c r="AI216" s="50"/>
      <c r="AJ216" s="50"/>
      <c r="AK216" s="50"/>
      <c r="AL216" s="50"/>
      <c r="AM216" s="50"/>
      <c r="AN216" s="50"/>
    </row>
    <row r="217" ht="15.75" customHeight="1">
      <c r="A217" s="33">
        <v>214.0</v>
      </c>
      <c r="B217" s="34"/>
      <c r="C217" s="50"/>
      <c r="D217" s="34"/>
      <c r="E217" s="34"/>
      <c r="F217" s="34"/>
      <c r="G217" s="34"/>
      <c r="H217" s="34"/>
      <c r="I217" s="34"/>
      <c r="J217" s="50"/>
      <c r="K217" s="34"/>
      <c r="L217" s="34"/>
      <c r="M217" s="34"/>
      <c r="N217" s="34"/>
      <c r="O217" s="50"/>
      <c r="P217" s="34"/>
      <c r="Q217" s="34"/>
      <c r="R217" s="34"/>
      <c r="S217" s="34"/>
      <c r="T217" s="50"/>
      <c r="U217" s="34"/>
      <c r="V217" s="34"/>
      <c r="W217" s="34"/>
      <c r="X217" s="34"/>
      <c r="Y217" s="50"/>
      <c r="Z217" s="34"/>
      <c r="AA217" s="34"/>
      <c r="AB217" s="34"/>
      <c r="AC217" s="34"/>
      <c r="AD217" s="50"/>
      <c r="AE217" s="34"/>
      <c r="AF217" s="34"/>
      <c r="AG217" s="34"/>
      <c r="AH217" s="34"/>
      <c r="AI217" s="50"/>
      <c r="AJ217" s="50"/>
      <c r="AK217" s="50"/>
      <c r="AL217" s="50"/>
      <c r="AM217" s="50"/>
      <c r="AN217" s="50"/>
    </row>
    <row r="218" ht="15.75" customHeight="1">
      <c r="A218" s="33">
        <v>215.0</v>
      </c>
      <c r="B218" s="34"/>
      <c r="C218" s="50"/>
      <c r="D218" s="34"/>
      <c r="E218" s="34"/>
      <c r="F218" s="34"/>
      <c r="G218" s="34"/>
      <c r="H218" s="34"/>
      <c r="I218" s="34"/>
      <c r="J218" s="50"/>
      <c r="K218" s="34"/>
      <c r="L218" s="34"/>
      <c r="M218" s="34"/>
      <c r="N218" s="34"/>
      <c r="O218" s="50"/>
      <c r="P218" s="34"/>
      <c r="Q218" s="34"/>
      <c r="R218" s="34"/>
      <c r="S218" s="34"/>
      <c r="T218" s="50"/>
      <c r="U218" s="34"/>
      <c r="V218" s="34"/>
      <c r="W218" s="34"/>
      <c r="X218" s="34"/>
      <c r="Y218" s="50"/>
      <c r="Z218" s="34"/>
      <c r="AA218" s="34"/>
      <c r="AB218" s="34"/>
      <c r="AC218" s="34"/>
      <c r="AD218" s="50"/>
      <c r="AE218" s="34"/>
      <c r="AF218" s="34"/>
      <c r="AG218" s="34"/>
      <c r="AH218" s="34"/>
      <c r="AI218" s="50"/>
      <c r="AJ218" s="50"/>
      <c r="AK218" s="50"/>
      <c r="AL218" s="50"/>
      <c r="AM218" s="50"/>
      <c r="AN218" s="50"/>
    </row>
    <row r="219" ht="15.75" customHeight="1">
      <c r="A219" s="33">
        <v>216.0</v>
      </c>
      <c r="B219" s="34"/>
      <c r="C219" s="50"/>
      <c r="D219" s="34"/>
      <c r="E219" s="34"/>
      <c r="F219" s="34"/>
      <c r="G219" s="34"/>
      <c r="H219" s="34"/>
      <c r="I219" s="34"/>
      <c r="J219" s="50"/>
      <c r="K219" s="34"/>
      <c r="L219" s="34"/>
      <c r="M219" s="34"/>
      <c r="N219" s="34"/>
      <c r="O219" s="50"/>
      <c r="P219" s="34"/>
      <c r="Q219" s="34"/>
      <c r="R219" s="34"/>
      <c r="S219" s="34"/>
      <c r="T219" s="50"/>
      <c r="U219" s="34"/>
      <c r="V219" s="34"/>
      <c r="W219" s="34"/>
      <c r="X219" s="34"/>
      <c r="Y219" s="50"/>
      <c r="Z219" s="34"/>
      <c r="AA219" s="34"/>
      <c r="AB219" s="34"/>
      <c r="AC219" s="34"/>
      <c r="AD219" s="50"/>
      <c r="AE219" s="34"/>
      <c r="AF219" s="34"/>
      <c r="AG219" s="34"/>
      <c r="AH219" s="34"/>
      <c r="AI219" s="50"/>
      <c r="AJ219" s="50"/>
      <c r="AK219" s="50"/>
      <c r="AL219" s="50"/>
      <c r="AM219" s="50"/>
      <c r="AN219" s="50"/>
    </row>
    <row r="220" ht="15.75" customHeight="1">
      <c r="A220" s="33">
        <v>217.0</v>
      </c>
      <c r="B220" s="34"/>
      <c r="C220" s="50"/>
      <c r="D220" s="34"/>
      <c r="E220" s="34"/>
      <c r="F220" s="34"/>
      <c r="G220" s="34"/>
      <c r="H220" s="34"/>
      <c r="I220" s="34"/>
      <c r="J220" s="50"/>
      <c r="K220" s="34"/>
      <c r="L220" s="34"/>
      <c r="M220" s="34"/>
      <c r="N220" s="34"/>
      <c r="O220" s="50"/>
      <c r="P220" s="34"/>
      <c r="Q220" s="34"/>
      <c r="R220" s="34"/>
      <c r="S220" s="34"/>
      <c r="T220" s="50"/>
      <c r="U220" s="34"/>
      <c r="V220" s="34"/>
      <c r="W220" s="34"/>
      <c r="X220" s="34"/>
      <c r="Y220" s="50"/>
      <c r="Z220" s="34"/>
      <c r="AA220" s="34"/>
      <c r="AB220" s="34"/>
      <c r="AC220" s="34"/>
      <c r="AD220" s="50"/>
      <c r="AE220" s="34"/>
      <c r="AF220" s="34"/>
      <c r="AG220" s="34"/>
      <c r="AH220" s="34"/>
      <c r="AI220" s="50"/>
      <c r="AJ220" s="50"/>
      <c r="AK220" s="50"/>
      <c r="AL220" s="50"/>
      <c r="AM220" s="50"/>
      <c r="AN220" s="50"/>
    </row>
    <row r="221" ht="15.75" customHeight="1">
      <c r="A221" s="33">
        <v>218.0</v>
      </c>
      <c r="B221" s="34"/>
      <c r="C221" s="50"/>
      <c r="D221" s="34"/>
      <c r="E221" s="34"/>
      <c r="F221" s="34"/>
      <c r="G221" s="34"/>
      <c r="H221" s="34"/>
      <c r="I221" s="34"/>
      <c r="J221" s="50"/>
      <c r="K221" s="34"/>
      <c r="L221" s="34"/>
      <c r="M221" s="34"/>
      <c r="N221" s="34"/>
      <c r="O221" s="50"/>
      <c r="P221" s="34"/>
      <c r="Q221" s="34"/>
      <c r="R221" s="34"/>
      <c r="S221" s="34"/>
      <c r="T221" s="50"/>
      <c r="U221" s="34"/>
      <c r="V221" s="34"/>
      <c r="W221" s="34"/>
      <c r="X221" s="34"/>
      <c r="Y221" s="50"/>
      <c r="Z221" s="34"/>
      <c r="AA221" s="34"/>
      <c r="AB221" s="34"/>
      <c r="AC221" s="34"/>
      <c r="AD221" s="50"/>
      <c r="AE221" s="34"/>
      <c r="AF221" s="34"/>
      <c r="AG221" s="34"/>
      <c r="AH221" s="34"/>
      <c r="AI221" s="50"/>
      <c r="AJ221" s="50"/>
      <c r="AK221" s="50"/>
      <c r="AL221" s="50"/>
      <c r="AM221" s="50"/>
      <c r="AN221" s="50"/>
    </row>
    <row r="222" ht="15.75" customHeight="1">
      <c r="A222" s="33">
        <v>219.0</v>
      </c>
      <c r="B222" s="34"/>
      <c r="C222" s="50"/>
      <c r="D222" s="34"/>
      <c r="E222" s="34"/>
      <c r="F222" s="34"/>
      <c r="G222" s="34"/>
      <c r="H222" s="34"/>
      <c r="I222" s="34"/>
      <c r="J222" s="50"/>
      <c r="K222" s="34"/>
      <c r="L222" s="34"/>
      <c r="M222" s="34"/>
      <c r="N222" s="34"/>
      <c r="O222" s="50"/>
      <c r="P222" s="34"/>
      <c r="Q222" s="34"/>
      <c r="R222" s="34"/>
      <c r="S222" s="34"/>
      <c r="T222" s="50"/>
      <c r="U222" s="34"/>
      <c r="V222" s="34"/>
      <c r="W222" s="34"/>
      <c r="X222" s="34"/>
      <c r="Y222" s="50"/>
      <c r="Z222" s="34"/>
      <c r="AA222" s="34"/>
      <c r="AB222" s="34"/>
      <c r="AC222" s="34"/>
      <c r="AD222" s="50"/>
      <c r="AE222" s="34"/>
      <c r="AF222" s="34"/>
      <c r="AG222" s="34"/>
      <c r="AH222" s="34"/>
      <c r="AI222" s="50"/>
      <c r="AJ222" s="50"/>
      <c r="AK222" s="50"/>
      <c r="AL222" s="50"/>
      <c r="AM222" s="50"/>
      <c r="AN222" s="50"/>
    </row>
    <row r="223" ht="15.75" customHeight="1">
      <c r="A223" s="33">
        <v>220.0</v>
      </c>
      <c r="B223" s="34"/>
      <c r="C223" s="50"/>
      <c r="D223" s="34"/>
      <c r="E223" s="34"/>
      <c r="F223" s="34"/>
      <c r="G223" s="34"/>
      <c r="H223" s="34"/>
      <c r="I223" s="34"/>
      <c r="J223" s="50"/>
      <c r="K223" s="34"/>
      <c r="L223" s="34"/>
      <c r="M223" s="34"/>
      <c r="N223" s="34"/>
      <c r="O223" s="50"/>
      <c r="P223" s="34"/>
      <c r="Q223" s="34"/>
      <c r="R223" s="34"/>
      <c r="S223" s="34"/>
      <c r="T223" s="50"/>
      <c r="U223" s="34"/>
      <c r="V223" s="34"/>
      <c r="W223" s="34"/>
      <c r="X223" s="34"/>
      <c r="Y223" s="50"/>
      <c r="Z223" s="34"/>
      <c r="AA223" s="34"/>
      <c r="AB223" s="34"/>
      <c r="AC223" s="34"/>
      <c r="AD223" s="50"/>
      <c r="AE223" s="34"/>
      <c r="AF223" s="34"/>
      <c r="AG223" s="34"/>
      <c r="AH223" s="34"/>
      <c r="AI223" s="50"/>
      <c r="AJ223" s="50"/>
      <c r="AK223" s="50"/>
      <c r="AL223" s="50"/>
      <c r="AM223" s="50"/>
      <c r="AN223" s="50"/>
    </row>
    <row r="224" ht="15.75" customHeight="1">
      <c r="A224" s="33">
        <v>221.0</v>
      </c>
      <c r="B224" s="34"/>
      <c r="C224" s="50"/>
      <c r="D224" s="34"/>
      <c r="E224" s="34"/>
      <c r="F224" s="34"/>
      <c r="G224" s="34"/>
      <c r="H224" s="34"/>
      <c r="I224" s="34"/>
      <c r="J224" s="50"/>
      <c r="K224" s="34"/>
      <c r="L224" s="34"/>
      <c r="M224" s="34"/>
      <c r="N224" s="34"/>
      <c r="O224" s="50"/>
      <c r="P224" s="34"/>
      <c r="Q224" s="34"/>
      <c r="R224" s="34"/>
      <c r="S224" s="34"/>
      <c r="T224" s="50"/>
      <c r="U224" s="34"/>
      <c r="V224" s="34"/>
      <c r="W224" s="34"/>
      <c r="X224" s="34"/>
      <c r="Y224" s="50"/>
      <c r="Z224" s="34"/>
      <c r="AA224" s="34"/>
      <c r="AB224" s="34"/>
      <c r="AC224" s="34"/>
      <c r="AD224" s="50"/>
      <c r="AE224" s="34"/>
      <c r="AF224" s="34"/>
      <c r="AG224" s="34"/>
      <c r="AH224" s="34"/>
      <c r="AI224" s="50"/>
      <c r="AJ224" s="50"/>
      <c r="AK224" s="50"/>
      <c r="AL224" s="50"/>
      <c r="AM224" s="50"/>
      <c r="AN224" s="50"/>
    </row>
    <row r="225" ht="15.75" customHeight="1">
      <c r="A225" s="33">
        <v>222.0</v>
      </c>
      <c r="B225" s="34"/>
      <c r="C225" s="50"/>
      <c r="D225" s="34"/>
      <c r="E225" s="34"/>
      <c r="F225" s="34"/>
      <c r="G225" s="34"/>
      <c r="H225" s="34"/>
      <c r="I225" s="34"/>
      <c r="J225" s="50"/>
      <c r="K225" s="34"/>
      <c r="L225" s="34"/>
      <c r="M225" s="34"/>
      <c r="N225" s="34"/>
      <c r="O225" s="50"/>
      <c r="P225" s="34"/>
      <c r="Q225" s="34"/>
      <c r="R225" s="34"/>
      <c r="S225" s="34"/>
      <c r="T225" s="50"/>
      <c r="U225" s="34"/>
      <c r="V225" s="34"/>
      <c r="W225" s="34"/>
      <c r="X225" s="34"/>
      <c r="Y225" s="50"/>
      <c r="Z225" s="34"/>
      <c r="AA225" s="34"/>
      <c r="AB225" s="34"/>
      <c r="AC225" s="34"/>
      <c r="AD225" s="50"/>
      <c r="AE225" s="34"/>
      <c r="AF225" s="34"/>
      <c r="AG225" s="34"/>
      <c r="AH225" s="34"/>
      <c r="AI225" s="50"/>
      <c r="AJ225" s="50"/>
      <c r="AK225" s="50"/>
      <c r="AL225" s="50"/>
      <c r="AM225" s="50"/>
      <c r="AN225" s="50"/>
    </row>
    <row r="226" ht="15.75" customHeight="1">
      <c r="A226" s="33">
        <v>223.0</v>
      </c>
      <c r="B226" s="34"/>
      <c r="C226" s="50"/>
      <c r="D226" s="34"/>
      <c r="E226" s="34"/>
      <c r="F226" s="34"/>
      <c r="G226" s="34"/>
      <c r="H226" s="34"/>
      <c r="I226" s="34"/>
      <c r="J226" s="50"/>
      <c r="K226" s="34"/>
      <c r="L226" s="34"/>
      <c r="M226" s="34"/>
      <c r="N226" s="34"/>
      <c r="O226" s="50"/>
      <c r="P226" s="34"/>
      <c r="Q226" s="34"/>
      <c r="R226" s="34"/>
      <c r="S226" s="34"/>
      <c r="T226" s="50"/>
      <c r="U226" s="34"/>
      <c r="V226" s="34"/>
      <c r="W226" s="34"/>
      <c r="X226" s="34"/>
      <c r="Y226" s="50"/>
      <c r="Z226" s="34"/>
      <c r="AA226" s="34"/>
      <c r="AB226" s="34"/>
      <c r="AC226" s="34"/>
      <c r="AD226" s="50"/>
      <c r="AE226" s="34"/>
      <c r="AF226" s="34"/>
      <c r="AG226" s="34"/>
      <c r="AH226" s="34"/>
      <c r="AI226" s="50"/>
      <c r="AJ226" s="50"/>
      <c r="AK226" s="50"/>
      <c r="AL226" s="50"/>
      <c r="AM226" s="50"/>
      <c r="AN226" s="50"/>
    </row>
    <row r="227" ht="15.75" customHeight="1">
      <c r="A227" s="33">
        <v>224.0</v>
      </c>
      <c r="B227" s="34"/>
      <c r="C227" s="50"/>
      <c r="D227" s="34"/>
      <c r="E227" s="34"/>
      <c r="F227" s="34"/>
      <c r="G227" s="34"/>
      <c r="H227" s="34"/>
      <c r="I227" s="34"/>
      <c r="J227" s="50"/>
      <c r="K227" s="34"/>
      <c r="L227" s="34"/>
      <c r="M227" s="34"/>
      <c r="N227" s="34"/>
      <c r="O227" s="50"/>
      <c r="P227" s="34"/>
      <c r="Q227" s="34"/>
      <c r="R227" s="34"/>
      <c r="S227" s="34"/>
      <c r="T227" s="50"/>
      <c r="U227" s="34"/>
      <c r="V227" s="34"/>
      <c r="W227" s="34"/>
      <c r="X227" s="34"/>
      <c r="Y227" s="50"/>
      <c r="Z227" s="34"/>
      <c r="AA227" s="34"/>
      <c r="AB227" s="34"/>
      <c r="AC227" s="34"/>
      <c r="AD227" s="50"/>
      <c r="AE227" s="34"/>
      <c r="AF227" s="34"/>
      <c r="AG227" s="34"/>
      <c r="AH227" s="34"/>
      <c r="AI227" s="50"/>
      <c r="AJ227" s="50"/>
      <c r="AK227" s="50"/>
      <c r="AL227" s="50"/>
      <c r="AM227" s="50"/>
      <c r="AN227" s="50"/>
    </row>
    <row r="228" ht="15.75" customHeight="1">
      <c r="A228" s="33">
        <v>225.0</v>
      </c>
      <c r="B228" s="34"/>
      <c r="C228" s="50"/>
      <c r="D228" s="34"/>
      <c r="E228" s="34"/>
      <c r="F228" s="34"/>
      <c r="G228" s="34"/>
      <c r="H228" s="34"/>
      <c r="I228" s="34"/>
      <c r="J228" s="50"/>
      <c r="K228" s="34"/>
      <c r="L228" s="34"/>
      <c r="M228" s="34"/>
      <c r="N228" s="34"/>
      <c r="O228" s="50"/>
      <c r="P228" s="34"/>
      <c r="Q228" s="34"/>
      <c r="R228" s="34"/>
      <c r="S228" s="34"/>
      <c r="T228" s="50"/>
      <c r="U228" s="34"/>
      <c r="V228" s="34"/>
      <c r="W228" s="34"/>
      <c r="X228" s="34"/>
      <c r="Y228" s="50"/>
      <c r="Z228" s="34"/>
      <c r="AA228" s="34"/>
      <c r="AB228" s="34"/>
      <c r="AC228" s="34"/>
      <c r="AD228" s="50"/>
      <c r="AE228" s="34"/>
      <c r="AF228" s="34"/>
      <c r="AG228" s="34"/>
      <c r="AH228" s="34"/>
      <c r="AI228" s="50"/>
      <c r="AJ228" s="50"/>
      <c r="AK228" s="50"/>
      <c r="AL228" s="50"/>
      <c r="AM228" s="50"/>
      <c r="AN228" s="50"/>
    </row>
    <row r="229" ht="15.75" customHeight="1">
      <c r="A229" s="33">
        <v>226.0</v>
      </c>
      <c r="B229" s="34"/>
      <c r="C229" s="50"/>
      <c r="D229" s="34"/>
      <c r="E229" s="34"/>
      <c r="F229" s="34"/>
      <c r="G229" s="34"/>
      <c r="H229" s="34"/>
      <c r="I229" s="34"/>
      <c r="J229" s="50"/>
      <c r="K229" s="34"/>
      <c r="L229" s="34"/>
      <c r="M229" s="34"/>
      <c r="N229" s="34"/>
      <c r="O229" s="50"/>
      <c r="P229" s="34"/>
      <c r="Q229" s="34"/>
      <c r="R229" s="34"/>
      <c r="S229" s="34"/>
      <c r="T229" s="50"/>
      <c r="U229" s="34"/>
      <c r="V229" s="34"/>
      <c r="W229" s="34"/>
      <c r="X229" s="34"/>
      <c r="Y229" s="50"/>
      <c r="Z229" s="34"/>
      <c r="AA229" s="34"/>
      <c r="AB229" s="34"/>
      <c r="AC229" s="34"/>
      <c r="AD229" s="50"/>
      <c r="AE229" s="34"/>
      <c r="AF229" s="34"/>
      <c r="AG229" s="34"/>
      <c r="AH229" s="34"/>
      <c r="AI229" s="50"/>
      <c r="AJ229" s="50"/>
      <c r="AK229" s="50"/>
      <c r="AL229" s="50"/>
      <c r="AM229" s="50"/>
      <c r="AN229" s="50"/>
    </row>
    <row r="230" ht="15.75" customHeight="1">
      <c r="A230" s="33">
        <v>227.0</v>
      </c>
      <c r="B230" s="34"/>
      <c r="C230" s="50"/>
      <c r="D230" s="34"/>
      <c r="E230" s="34"/>
      <c r="F230" s="34"/>
      <c r="G230" s="34"/>
      <c r="H230" s="34"/>
      <c r="I230" s="34"/>
      <c r="J230" s="50"/>
      <c r="K230" s="34"/>
      <c r="L230" s="34"/>
      <c r="M230" s="34"/>
      <c r="N230" s="34"/>
      <c r="O230" s="50"/>
      <c r="P230" s="34"/>
      <c r="Q230" s="34"/>
      <c r="R230" s="34"/>
      <c r="S230" s="34"/>
      <c r="T230" s="50"/>
      <c r="U230" s="34"/>
      <c r="V230" s="34"/>
      <c r="W230" s="34"/>
      <c r="X230" s="34"/>
      <c r="Y230" s="50"/>
      <c r="Z230" s="34"/>
      <c r="AA230" s="34"/>
      <c r="AB230" s="34"/>
      <c r="AC230" s="34"/>
      <c r="AD230" s="50"/>
      <c r="AE230" s="34"/>
      <c r="AF230" s="34"/>
      <c r="AG230" s="34"/>
      <c r="AH230" s="34"/>
      <c r="AI230" s="50"/>
      <c r="AJ230" s="50"/>
      <c r="AK230" s="50"/>
      <c r="AL230" s="50"/>
      <c r="AM230" s="50"/>
      <c r="AN230" s="50"/>
    </row>
    <row r="231" ht="15.75" customHeight="1">
      <c r="A231" s="33">
        <v>228.0</v>
      </c>
      <c r="B231" s="34"/>
      <c r="C231" s="50"/>
      <c r="D231" s="34"/>
      <c r="E231" s="34"/>
      <c r="F231" s="34"/>
      <c r="G231" s="34"/>
      <c r="H231" s="34"/>
      <c r="I231" s="34"/>
      <c r="J231" s="50"/>
      <c r="K231" s="34"/>
      <c r="L231" s="34"/>
      <c r="M231" s="34"/>
      <c r="N231" s="34"/>
      <c r="O231" s="50"/>
      <c r="P231" s="34"/>
      <c r="Q231" s="34"/>
      <c r="R231" s="34"/>
      <c r="S231" s="34"/>
      <c r="T231" s="50"/>
      <c r="U231" s="34"/>
      <c r="V231" s="34"/>
      <c r="W231" s="34"/>
      <c r="X231" s="34"/>
      <c r="Y231" s="50"/>
      <c r="Z231" s="34"/>
      <c r="AA231" s="34"/>
      <c r="AB231" s="34"/>
      <c r="AC231" s="34"/>
      <c r="AD231" s="50"/>
      <c r="AE231" s="34"/>
      <c r="AF231" s="34"/>
      <c r="AG231" s="34"/>
      <c r="AH231" s="34"/>
      <c r="AI231" s="50"/>
      <c r="AJ231" s="50"/>
      <c r="AK231" s="50"/>
      <c r="AL231" s="50"/>
      <c r="AM231" s="50"/>
      <c r="AN231" s="50"/>
    </row>
    <row r="232" ht="15.75" customHeight="1">
      <c r="A232" s="33">
        <v>229.0</v>
      </c>
      <c r="B232" s="34"/>
      <c r="C232" s="50"/>
      <c r="D232" s="34"/>
      <c r="E232" s="34"/>
      <c r="F232" s="34"/>
      <c r="G232" s="34"/>
      <c r="H232" s="34"/>
      <c r="I232" s="34"/>
      <c r="J232" s="50"/>
      <c r="K232" s="34"/>
      <c r="L232" s="34"/>
      <c r="M232" s="34"/>
      <c r="N232" s="34"/>
      <c r="O232" s="50"/>
      <c r="P232" s="34"/>
      <c r="Q232" s="34"/>
      <c r="R232" s="34"/>
      <c r="S232" s="34"/>
      <c r="T232" s="50"/>
      <c r="U232" s="34"/>
      <c r="V232" s="34"/>
      <c r="W232" s="34"/>
      <c r="X232" s="34"/>
      <c r="Y232" s="50"/>
      <c r="Z232" s="34"/>
      <c r="AA232" s="34"/>
      <c r="AB232" s="34"/>
      <c r="AC232" s="34"/>
      <c r="AD232" s="50"/>
      <c r="AE232" s="34"/>
      <c r="AF232" s="34"/>
      <c r="AG232" s="34"/>
      <c r="AH232" s="34"/>
      <c r="AI232" s="50"/>
      <c r="AJ232" s="50"/>
      <c r="AK232" s="50"/>
      <c r="AL232" s="50"/>
      <c r="AM232" s="50"/>
      <c r="AN232" s="50"/>
    </row>
    <row r="233" ht="15.75" customHeight="1">
      <c r="A233" s="33">
        <v>230.0</v>
      </c>
      <c r="B233" s="34"/>
      <c r="C233" s="50"/>
      <c r="D233" s="34"/>
      <c r="E233" s="34"/>
      <c r="F233" s="34"/>
      <c r="G233" s="34"/>
      <c r="H233" s="34"/>
      <c r="I233" s="34"/>
      <c r="J233" s="50"/>
      <c r="K233" s="34"/>
      <c r="L233" s="34"/>
      <c r="M233" s="34"/>
      <c r="N233" s="34"/>
      <c r="O233" s="50"/>
      <c r="P233" s="34"/>
      <c r="Q233" s="34"/>
      <c r="R233" s="34"/>
      <c r="S233" s="34"/>
      <c r="T233" s="50"/>
      <c r="U233" s="34"/>
      <c r="V233" s="34"/>
      <c r="W233" s="34"/>
      <c r="X233" s="34"/>
      <c r="Y233" s="50"/>
      <c r="Z233" s="34"/>
      <c r="AA233" s="34"/>
      <c r="AB233" s="34"/>
      <c r="AC233" s="34"/>
      <c r="AD233" s="50"/>
      <c r="AE233" s="34"/>
      <c r="AF233" s="34"/>
      <c r="AG233" s="34"/>
      <c r="AH233" s="34"/>
      <c r="AI233" s="50"/>
      <c r="AJ233" s="50"/>
      <c r="AK233" s="50"/>
      <c r="AL233" s="50"/>
      <c r="AM233" s="50"/>
      <c r="AN233" s="50"/>
    </row>
    <row r="234" ht="15.75" customHeight="1">
      <c r="A234" s="33">
        <v>231.0</v>
      </c>
      <c r="B234" s="34"/>
      <c r="C234" s="50"/>
      <c r="D234" s="34"/>
      <c r="E234" s="34"/>
      <c r="F234" s="34"/>
      <c r="G234" s="34"/>
      <c r="H234" s="34"/>
      <c r="I234" s="34"/>
      <c r="J234" s="50"/>
      <c r="K234" s="34"/>
      <c r="L234" s="34"/>
      <c r="M234" s="34"/>
      <c r="N234" s="34"/>
      <c r="O234" s="50"/>
      <c r="P234" s="34"/>
      <c r="Q234" s="34"/>
      <c r="R234" s="34"/>
      <c r="S234" s="34"/>
      <c r="T234" s="50"/>
      <c r="U234" s="34"/>
      <c r="V234" s="34"/>
      <c r="W234" s="34"/>
      <c r="X234" s="34"/>
      <c r="Y234" s="50"/>
      <c r="Z234" s="34"/>
      <c r="AA234" s="34"/>
      <c r="AB234" s="34"/>
      <c r="AC234" s="34"/>
      <c r="AD234" s="50"/>
      <c r="AE234" s="34"/>
      <c r="AF234" s="34"/>
      <c r="AG234" s="34"/>
      <c r="AH234" s="34"/>
      <c r="AI234" s="50"/>
      <c r="AJ234" s="50"/>
      <c r="AK234" s="50"/>
      <c r="AL234" s="50"/>
      <c r="AM234" s="50"/>
      <c r="AN234" s="50"/>
    </row>
    <row r="235" ht="15.75" customHeight="1">
      <c r="A235" s="33">
        <v>232.0</v>
      </c>
      <c r="B235" s="34"/>
      <c r="C235" s="50"/>
      <c r="D235" s="34"/>
      <c r="E235" s="34"/>
      <c r="F235" s="34"/>
      <c r="G235" s="34"/>
      <c r="H235" s="34"/>
      <c r="I235" s="34"/>
      <c r="J235" s="50"/>
      <c r="K235" s="34"/>
      <c r="L235" s="34"/>
      <c r="M235" s="34"/>
      <c r="N235" s="34"/>
      <c r="O235" s="50"/>
      <c r="P235" s="34"/>
      <c r="Q235" s="34"/>
      <c r="R235" s="34"/>
      <c r="S235" s="34"/>
      <c r="T235" s="50"/>
      <c r="U235" s="34"/>
      <c r="V235" s="34"/>
      <c r="W235" s="34"/>
      <c r="X235" s="34"/>
      <c r="Y235" s="50"/>
      <c r="Z235" s="34"/>
      <c r="AA235" s="34"/>
      <c r="AB235" s="34"/>
      <c r="AC235" s="34"/>
      <c r="AD235" s="50"/>
      <c r="AE235" s="34"/>
      <c r="AF235" s="34"/>
      <c r="AG235" s="34"/>
      <c r="AH235" s="34"/>
      <c r="AI235" s="50"/>
      <c r="AJ235" s="50"/>
      <c r="AK235" s="50"/>
      <c r="AL235" s="50"/>
      <c r="AM235" s="50"/>
      <c r="AN235" s="50"/>
    </row>
    <row r="236" ht="15.75" customHeight="1">
      <c r="A236" s="33">
        <v>233.0</v>
      </c>
      <c r="B236" s="34"/>
      <c r="C236" s="50"/>
      <c r="D236" s="34"/>
      <c r="E236" s="34"/>
      <c r="F236" s="34"/>
      <c r="G236" s="34"/>
      <c r="H236" s="34"/>
      <c r="I236" s="34"/>
      <c r="J236" s="50"/>
      <c r="K236" s="34"/>
      <c r="L236" s="34"/>
      <c r="M236" s="34"/>
      <c r="N236" s="34"/>
      <c r="O236" s="50"/>
      <c r="P236" s="34"/>
      <c r="Q236" s="34"/>
      <c r="R236" s="34"/>
      <c r="S236" s="34"/>
      <c r="T236" s="50"/>
      <c r="U236" s="34"/>
      <c r="V236" s="34"/>
      <c r="W236" s="34"/>
      <c r="X236" s="34"/>
      <c r="Y236" s="50"/>
      <c r="Z236" s="34"/>
      <c r="AA236" s="34"/>
      <c r="AB236" s="34"/>
      <c r="AC236" s="34"/>
      <c r="AD236" s="50"/>
      <c r="AE236" s="34"/>
      <c r="AF236" s="34"/>
      <c r="AG236" s="34"/>
      <c r="AH236" s="34"/>
      <c r="AI236" s="50"/>
      <c r="AJ236" s="50"/>
      <c r="AK236" s="50"/>
      <c r="AL236" s="50"/>
      <c r="AM236" s="50"/>
      <c r="AN236" s="50"/>
    </row>
    <row r="237" ht="15.75" customHeight="1">
      <c r="A237" s="33">
        <v>234.0</v>
      </c>
      <c r="B237" s="34"/>
      <c r="C237" s="50"/>
      <c r="D237" s="34"/>
      <c r="E237" s="34"/>
      <c r="F237" s="34"/>
      <c r="G237" s="34"/>
      <c r="H237" s="34"/>
      <c r="I237" s="34"/>
      <c r="J237" s="50"/>
      <c r="K237" s="34"/>
      <c r="L237" s="34"/>
      <c r="M237" s="34"/>
      <c r="N237" s="34"/>
      <c r="O237" s="50"/>
      <c r="P237" s="34"/>
      <c r="Q237" s="34"/>
      <c r="R237" s="34"/>
      <c r="S237" s="34"/>
      <c r="T237" s="50"/>
      <c r="U237" s="34"/>
      <c r="V237" s="34"/>
      <c r="W237" s="34"/>
      <c r="X237" s="34"/>
      <c r="Y237" s="50"/>
      <c r="Z237" s="34"/>
      <c r="AA237" s="34"/>
      <c r="AB237" s="34"/>
      <c r="AC237" s="34"/>
      <c r="AD237" s="50"/>
      <c r="AE237" s="34"/>
      <c r="AF237" s="34"/>
      <c r="AG237" s="34"/>
      <c r="AH237" s="34"/>
      <c r="AI237" s="50"/>
      <c r="AJ237" s="50"/>
      <c r="AK237" s="50"/>
      <c r="AL237" s="50"/>
      <c r="AM237" s="50"/>
      <c r="AN237" s="50"/>
    </row>
    <row r="238" ht="15.75" customHeight="1">
      <c r="A238" s="33">
        <v>235.0</v>
      </c>
      <c r="B238" s="34"/>
      <c r="C238" s="50"/>
      <c r="D238" s="34"/>
      <c r="E238" s="34"/>
      <c r="F238" s="34"/>
      <c r="G238" s="34"/>
      <c r="H238" s="34"/>
      <c r="I238" s="34"/>
      <c r="J238" s="50"/>
      <c r="K238" s="34"/>
      <c r="L238" s="34"/>
      <c r="M238" s="34"/>
      <c r="N238" s="34"/>
      <c r="O238" s="50"/>
      <c r="P238" s="34"/>
      <c r="Q238" s="34"/>
      <c r="R238" s="34"/>
      <c r="S238" s="34"/>
      <c r="T238" s="50"/>
      <c r="U238" s="34"/>
      <c r="V238" s="34"/>
      <c r="W238" s="34"/>
      <c r="X238" s="34"/>
      <c r="Y238" s="50"/>
      <c r="Z238" s="34"/>
      <c r="AA238" s="34"/>
      <c r="AB238" s="34"/>
      <c r="AC238" s="34"/>
      <c r="AD238" s="50"/>
      <c r="AE238" s="34"/>
      <c r="AF238" s="34"/>
      <c r="AG238" s="34"/>
      <c r="AH238" s="34"/>
      <c r="AI238" s="50"/>
      <c r="AJ238" s="50"/>
      <c r="AK238" s="50"/>
      <c r="AL238" s="50"/>
      <c r="AM238" s="50"/>
      <c r="AN238" s="50"/>
    </row>
    <row r="239" ht="15.75" customHeight="1">
      <c r="A239" s="33">
        <v>236.0</v>
      </c>
      <c r="B239" s="34"/>
      <c r="C239" s="50"/>
      <c r="D239" s="34"/>
      <c r="E239" s="34"/>
      <c r="F239" s="34"/>
      <c r="G239" s="34"/>
      <c r="H239" s="34"/>
      <c r="I239" s="34"/>
      <c r="J239" s="50"/>
      <c r="K239" s="34"/>
      <c r="L239" s="34"/>
      <c r="M239" s="34"/>
      <c r="N239" s="34"/>
      <c r="O239" s="50"/>
      <c r="P239" s="34"/>
      <c r="Q239" s="34"/>
      <c r="R239" s="34"/>
      <c r="S239" s="34"/>
      <c r="T239" s="50"/>
      <c r="U239" s="34"/>
      <c r="V239" s="34"/>
      <c r="W239" s="34"/>
      <c r="X239" s="34"/>
      <c r="Y239" s="50"/>
      <c r="Z239" s="34"/>
      <c r="AA239" s="34"/>
      <c r="AB239" s="34"/>
      <c r="AC239" s="34"/>
      <c r="AD239" s="50"/>
      <c r="AE239" s="34"/>
      <c r="AF239" s="34"/>
      <c r="AG239" s="34"/>
      <c r="AH239" s="34"/>
      <c r="AI239" s="50"/>
      <c r="AJ239" s="50"/>
      <c r="AK239" s="50"/>
      <c r="AL239" s="50"/>
      <c r="AM239" s="50"/>
      <c r="AN239" s="50"/>
    </row>
    <row r="240" ht="15.75" customHeight="1">
      <c r="A240" s="33">
        <v>237.0</v>
      </c>
      <c r="B240" s="34"/>
      <c r="C240" s="50"/>
      <c r="D240" s="34"/>
      <c r="E240" s="34"/>
      <c r="F240" s="34"/>
      <c r="G240" s="34"/>
      <c r="H240" s="34"/>
      <c r="I240" s="34"/>
      <c r="J240" s="50"/>
      <c r="K240" s="34"/>
      <c r="L240" s="34"/>
      <c r="M240" s="34"/>
      <c r="N240" s="34"/>
      <c r="O240" s="50"/>
      <c r="P240" s="34"/>
      <c r="Q240" s="34"/>
      <c r="R240" s="34"/>
      <c r="S240" s="34"/>
      <c r="T240" s="50"/>
      <c r="U240" s="34"/>
      <c r="V240" s="34"/>
      <c r="W240" s="34"/>
      <c r="X240" s="34"/>
      <c r="Y240" s="50"/>
      <c r="Z240" s="34"/>
      <c r="AA240" s="34"/>
      <c r="AB240" s="34"/>
      <c r="AC240" s="34"/>
      <c r="AD240" s="50"/>
      <c r="AE240" s="34"/>
      <c r="AF240" s="34"/>
      <c r="AG240" s="34"/>
      <c r="AH240" s="34"/>
      <c r="AI240" s="50"/>
      <c r="AJ240" s="50"/>
      <c r="AK240" s="50"/>
      <c r="AL240" s="50"/>
      <c r="AM240" s="50"/>
      <c r="AN240" s="50"/>
    </row>
    <row r="241" ht="15.75" customHeight="1">
      <c r="A241" s="33">
        <v>238.0</v>
      </c>
      <c r="B241" s="34"/>
      <c r="C241" s="50"/>
      <c r="D241" s="34"/>
      <c r="E241" s="34"/>
      <c r="F241" s="34"/>
      <c r="G241" s="34"/>
      <c r="H241" s="34"/>
      <c r="I241" s="34"/>
      <c r="J241" s="50"/>
      <c r="K241" s="34"/>
      <c r="L241" s="34"/>
      <c r="M241" s="34"/>
      <c r="N241" s="34"/>
      <c r="O241" s="50"/>
      <c r="P241" s="34"/>
      <c r="Q241" s="34"/>
      <c r="R241" s="34"/>
      <c r="S241" s="34"/>
      <c r="T241" s="50"/>
      <c r="U241" s="34"/>
      <c r="V241" s="34"/>
      <c r="W241" s="34"/>
      <c r="X241" s="34"/>
      <c r="Y241" s="50"/>
      <c r="Z241" s="34"/>
      <c r="AA241" s="34"/>
      <c r="AB241" s="34"/>
      <c r="AC241" s="34"/>
      <c r="AD241" s="50"/>
      <c r="AE241" s="34"/>
      <c r="AF241" s="34"/>
      <c r="AG241" s="34"/>
      <c r="AH241" s="34"/>
      <c r="AI241" s="50"/>
      <c r="AJ241" s="50"/>
      <c r="AK241" s="50"/>
      <c r="AL241" s="50"/>
      <c r="AM241" s="50"/>
      <c r="AN241" s="50"/>
    </row>
    <row r="242" ht="15.75" customHeight="1">
      <c r="A242" s="33">
        <v>239.0</v>
      </c>
      <c r="B242" s="34"/>
      <c r="C242" s="50"/>
      <c r="D242" s="34"/>
      <c r="E242" s="34"/>
      <c r="F242" s="34"/>
      <c r="G242" s="34"/>
      <c r="H242" s="34"/>
      <c r="I242" s="34"/>
      <c r="J242" s="50"/>
      <c r="K242" s="34"/>
      <c r="L242" s="34"/>
      <c r="M242" s="34"/>
      <c r="N242" s="34"/>
      <c r="O242" s="50"/>
      <c r="P242" s="34"/>
      <c r="Q242" s="34"/>
      <c r="R242" s="34"/>
      <c r="S242" s="34"/>
      <c r="T242" s="50"/>
      <c r="U242" s="34"/>
      <c r="V242" s="34"/>
      <c r="W242" s="34"/>
      <c r="X242" s="34"/>
      <c r="Y242" s="50"/>
      <c r="Z242" s="34"/>
      <c r="AA242" s="34"/>
      <c r="AB242" s="34"/>
      <c r="AC242" s="34"/>
      <c r="AD242" s="50"/>
      <c r="AE242" s="34"/>
      <c r="AF242" s="34"/>
      <c r="AG242" s="34"/>
      <c r="AH242" s="34"/>
      <c r="AI242" s="50"/>
      <c r="AJ242" s="50"/>
      <c r="AK242" s="50"/>
      <c r="AL242" s="50"/>
      <c r="AM242" s="50"/>
      <c r="AN242" s="50"/>
    </row>
    <row r="243" ht="15.75" customHeight="1">
      <c r="A243" s="33">
        <v>240.0</v>
      </c>
      <c r="B243" s="34"/>
      <c r="C243" s="50"/>
      <c r="D243" s="34"/>
      <c r="E243" s="34"/>
      <c r="F243" s="34"/>
      <c r="G243" s="34"/>
      <c r="H243" s="34"/>
      <c r="I243" s="34"/>
      <c r="J243" s="50"/>
      <c r="K243" s="34"/>
      <c r="L243" s="34"/>
      <c r="M243" s="34"/>
      <c r="N243" s="34"/>
      <c r="O243" s="50"/>
      <c r="P243" s="34"/>
      <c r="Q243" s="34"/>
      <c r="R243" s="34"/>
      <c r="S243" s="34"/>
      <c r="T243" s="50"/>
      <c r="U243" s="34"/>
      <c r="V243" s="34"/>
      <c r="W243" s="34"/>
      <c r="X243" s="34"/>
      <c r="Y243" s="50"/>
      <c r="Z243" s="34"/>
      <c r="AA243" s="34"/>
      <c r="AB243" s="34"/>
      <c r="AC243" s="34"/>
      <c r="AD243" s="50"/>
      <c r="AE243" s="34"/>
      <c r="AF243" s="34"/>
      <c r="AG243" s="34"/>
      <c r="AH243" s="34"/>
      <c r="AI243" s="50"/>
      <c r="AJ243" s="50"/>
      <c r="AK243" s="50"/>
      <c r="AL243" s="50"/>
      <c r="AM243" s="50"/>
      <c r="AN243" s="50"/>
    </row>
    <row r="244" ht="15.75" customHeight="1">
      <c r="A244" s="33">
        <v>241.0</v>
      </c>
      <c r="B244" s="34"/>
      <c r="C244" s="50"/>
      <c r="D244" s="34"/>
      <c r="E244" s="34"/>
      <c r="F244" s="34"/>
      <c r="G244" s="34"/>
      <c r="H244" s="34"/>
      <c r="I244" s="34"/>
      <c r="J244" s="50"/>
      <c r="K244" s="34"/>
      <c r="L244" s="34"/>
      <c r="M244" s="34"/>
      <c r="N244" s="34"/>
      <c r="O244" s="50"/>
      <c r="P244" s="34"/>
      <c r="Q244" s="34"/>
      <c r="R244" s="34"/>
      <c r="S244" s="34"/>
      <c r="T244" s="50"/>
      <c r="U244" s="34"/>
      <c r="V244" s="34"/>
      <c r="W244" s="34"/>
      <c r="X244" s="34"/>
      <c r="Y244" s="50"/>
      <c r="Z244" s="34"/>
      <c r="AA244" s="34"/>
      <c r="AB244" s="34"/>
      <c r="AC244" s="34"/>
      <c r="AD244" s="50"/>
      <c r="AE244" s="34"/>
      <c r="AF244" s="34"/>
      <c r="AG244" s="34"/>
      <c r="AH244" s="34"/>
      <c r="AI244" s="50"/>
      <c r="AJ244" s="50"/>
      <c r="AK244" s="50"/>
      <c r="AL244" s="50"/>
      <c r="AM244" s="50"/>
      <c r="AN244" s="50"/>
    </row>
    <row r="245" ht="15.75" customHeight="1">
      <c r="A245" s="33">
        <v>242.0</v>
      </c>
      <c r="B245" s="34"/>
      <c r="C245" s="50"/>
      <c r="D245" s="34"/>
      <c r="E245" s="34"/>
      <c r="F245" s="34"/>
      <c r="G245" s="34"/>
      <c r="H245" s="34"/>
      <c r="I245" s="34"/>
      <c r="J245" s="50"/>
      <c r="K245" s="34"/>
      <c r="L245" s="34"/>
      <c r="M245" s="34"/>
      <c r="N245" s="34"/>
      <c r="O245" s="50"/>
      <c r="P245" s="34"/>
      <c r="Q245" s="34"/>
      <c r="R245" s="34"/>
      <c r="S245" s="34"/>
      <c r="T245" s="50"/>
      <c r="U245" s="34"/>
      <c r="V245" s="34"/>
      <c r="W245" s="34"/>
      <c r="X245" s="34"/>
      <c r="Y245" s="50"/>
      <c r="Z245" s="34"/>
      <c r="AA245" s="34"/>
      <c r="AB245" s="34"/>
      <c r="AC245" s="34"/>
      <c r="AD245" s="50"/>
      <c r="AE245" s="34"/>
      <c r="AF245" s="34"/>
      <c r="AG245" s="34"/>
      <c r="AH245" s="34"/>
      <c r="AI245" s="50"/>
      <c r="AJ245" s="50"/>
      <c r="AK245" s="50"/>
      <c r="AL245" s="50"/>
      <c r="AM245" s="50"/>
      <c r="AN245" s="50"/>
    </row>
    <row r="246" ht="15.75" customHeight="1">
      <c r="A246" s="33">
        <v>243.0</v>
      </c>
      <c r="B246" s="34"/>
      <c r="C246" s="50"/>
      <c r="D246" s="34"/>
      <c r="E246" s="34"/>
      <c r="F246" s="34"/>
      <c r="G246" s="34"/>
      <c r="H246" s="34"/>
      <c r="I246" s="34"/>
      <c r="J246" s="50"/>
      <c r="K246" s="34"/>
      <c r="L246" s="34"/>
      <c r="M246" s="34"/>
      <c r="N246" s="34"/>
      <c r="O246" s="50"/>
      <c r="P246" s="34"/>
      <c r="Q246" s="34"/>
      <c r="R246" s="34"/>
      <c r="S246" s="34"/>
      <c r="T246" s="50"/>
      <c r="U246" s="34"/>
      <c r="V246" s="34"/>
      <c r="W246" s="34"/>
      <c r="X246" s="34"/>
      <c r="Y246" s="50"/>
      <c r="Z246" s="34"/>
      <c r="AA246" s="34"/>
      <c r="AB246" s="34"/>
      <c r="AC246" s="34"/>
      <c r="AD246" s="50"/>
      <c r="AE246" s="34"/>
      <c r="AF246" s="34"/>
      <c r="AG246" s="34"/>
      <c r="AH246" s="34"/>
      <c r="AI246" s="50"/>
      <c r="AJ246" s="50"/>
      <c r="AK246" s="50"/>
      <c r="AL246" s="50"/>
      <c r="AM246" s="50"/>
      <c r="AN246" s="50"/>
    </row>
    <row r="247" ht="15.75" customHeight="1">
      <c r="A247" s="33">
        <v>244.0</v>
      </c>
      <c r="B247" s="34"/>
      <c r="C247" s="50"/>
      <c r="D247" s="34"/>
      <c r="E247" s="34"/>
      <c r="F247" s="34"/>
      <c r="G247" s="34"/>
      <c r="H247" s="34"/>
      <c r="I247" s="34"/>
      <c r="J247" s="50"/>
      <c r="K247" s="34"/>
      <c r="L247" s="34"/>
      <c r="M247" s="34"/>
      <c r="N247" s="34"/>
      <c r="O247" s="50"/>
      <c r="P247" s="34"/>
      <c r="Q247" s="34"/>
      <c r="R247" s="34"/>
      <c r="S247" s="34"/>
      <c r="T247" s="50"/>
      <c r="U247" s="34"/>
      <c r="V247" s="34"/>
      <c r="W247" s="34"/>
      <c r="X247" s="34"/>
      <c r="Y247" s="50"/>
      <c r="Z247" s="34"/>
      <c r="AA247" s="34"/>
      <c r="AB247" s="34"/>
      <c r="AC247" s="34"/>
      <c r="AD247" s="50"/>
      <c r="AE247" s="34"/>
      <c r="AF247" s="34"/>
      <c r="AG247" s="34"/>
      <c r="AH247" s="34"/>
      <c r="AI247" s="50"/>
      <c r="AJ247" s="50"/>
      <c r="AK247" s="50"/>
      <c r="AL247" s="50"/>
      <c r="AM247" s="50"/>
      <c r="AN247" s="50"/>
    </row>
    <row r="248" ht="15.75" customHeight="1">
      <c r="A248" s="33">
        <v>245.0</v>
      </c>
      <c r="B248" s="34"/>
      <c r="C248" s="50"/>
      <c r="D248" s="34"/>
      <c r="E248" s="34"/>
      <c r="F248" s="34"/>
      <c r="G248" s="34"/>
      <c r="H248" s="34"/>
      <c r="I248" s="34"/>
      <c r="J248" s="50"/>
      <c r="K248" s="34"/>
      <c r="L248" s="34"/>
      <c r="M248" s="34"/>
      <c r="N248" s="34"/>
      <c r="O248" s="50"/>
      <c r="P248" s="34"/>
      <c r="Q248" s="34"/>
      <c r="R248" s="34"/>
      <c r="S248" s="34"/>
      <c r="T248" s="50"/>
      <c r="U248" s="34"/>
      <c r="V248" s="34"/>
      <c r="W248" s="34"/>
      <c r="X248" s="34"/>
      <c r="Y248" s="50"/>
      <c r="Z248" s="34"/>
      <c r="AA248" s="34"/>
      <c r="AB248" s="34"/>
      <c r="AC248" s="34"/>
      <c r="AD248" s="50"/>
      <c r="AE248" s="34"/>
      <c r="AF248" s="34"/>
      <c r="AG248" s="34"/>
      <c r="AH248" s="34"/>
      <c r="AI248" s="50"/>
      <c r="AJ248" s="50"/>
      <c r="AK248" s="50"/>
      <c r="AL248" s="50"/>
      <c r="AM248" s="50"/>
      <c r="AN248" s="50"/>
    </row>
    <row r="249" ht="15.75" customHeight="1">
      <c r="A249" s="33">
        <v>246.0</v>
      </c>
      <c r="B249" s="34"/>
      <c r="C249" s="50"/>
      <c r="D249" s="34"/>
      <c r="E249" s="34"/>
      <c r="F249" s="34"/>
      <c r="G249" s="34"/>
      <c r="H249" s="34"/>
      <c r="I249" s="34"/>
      <c r="J249" s="50"/>
      <c r="K249" s="34"/>
      <c r="L249" s="34"/>
      <c r="M249" s="34"/>
      <c r="N249" s="34"/>
      <c r="O249" s="50"/>
      <c r="P249" s="34"/>
      <c r="Q249" s="34"/>
      <c r="R249" s="34"/>
      <c r="S249" s="34"/>
      <c r="T249" s="50"/>
      <c r="U249" s="34"/>
      <c r="V249" s="34"/>
      <c r="W249" s="34"/>
      <c r="X249" s="34"/>
      <c r="Y249" s="50"/>
      <c r="Z249" s="34"/>
      <c r="AA249" s="34"/>
      <c r="AB249" s="34"/>
      <c r="AC249" s="34"/>
      <c r="AD249" s="50"/>
      <c r="AE249" s="34"/>
      <c r="AF249" s="34"/>
      <c r="AG249" s="34"/>
      <c r="AH249" s="34"/>
      <c r="AI249" s="50"/>
      <c r="AJ249" s="50"/>
      <c r="AK249" s="50"/>
      <c r="AL249" s="50"/>
      <c r="AM249" s="50"/>
      <c r="AN249" s="50"/>
    </row>
    <row r="250" ht="15.75" customHeight="1">
      <c r="A250" s="33">
        <v>247.0</v>
      </c>
      <c r="B250" s="34"/>
      <c r="C250" s="50"/>
      <c r="D250" s="34"/>
      <c r="E250" s="34"/>
      <c r="F250" s="34"/>
      <c r="G250" s="34"/>
      <c r="H250" s="34"/>
      <c r="I250" s="34"/>
      <c r="J250" s="50"/>
      <c r="K250" s="34"/>
      <c r="L250" s="34"/>
      <c r="M250" s="34"/>
      <c r="N250" s="34"/>
      <c r="O250" s="50"/>
      <c r="P250" s="34"/>
      <c r="Q250" s="34"/>
      <c r="R250" s="34"/>
      <c r="S250" s="34"/>
      <c r="T250" s="50"/>
      <c r="U250" s="34"/>
      <c r="V250" s="34"/>
      <c r="W250" s="34"/>
      <c r="X250" s="34"/>
      <c r="Y250" s="50"/>
      <c r="Z250" s="34"/>
      <c r="AA250" s="34"/>
      <c r="AB250" s="34"/>
      <c r="AC250" s="34"/>
      <c r="AD250" s="50"/>
      <c r="AE250" s="34"/>
      <c r="AF250" s="34"/>
      <c r="AG250" s="34"/>
      <c r="AH250" s="34"/>
      <c r="AI250" s="50"/>
      <c r="AJ250" s="50"/>
      <c r="AK250" s="50"/>
      <c r="AL250" s="50"/>
      <c r="AM250" s="50"/>
      <c r="AN250" s="50"/>
    </row>
    <row r="251" ht="15.75" customHeight="1">
      <c r="A251" s="33">
        <v>248.0</v>
      </c>
      <c r="B251" s="34"/>
      <c r="C251" s="50"/>
      <c r="D251" s="34"/>
      <c r="E251" s="34"/>
      <c r="F251" s="34"/>
      <c r="G251" s="34"/>
      <c r="H251" s="34"/>
      <c r="I251" s="34"/>
      <c r="J251" s="50"/>
      <c r="K251" s="34"/>
      <c r="L251" s="34"/>
      <c r="M251" s="34"/>
      <c r="N251" s="34"/>
      <c r="O251" s="50"/>
      <c r="P251" s="34"/>
      <c r="Q251" s="34"/>
      <c r="R251" s="34"/>
      <c r="S251" s="34"/>
      <c r="T251" s="50"/>
      <c r="U251" s="34"/>
      <c r="V251" s="34"/>
      <c r="W251" s="34"/>
      <c r="X251" s="34"/>
      <c r="Y251" s="50"/>
      <c r="Z251" s="34"/>
      <c r="AA251" s="34"/>
      <c r="AB251" s="34"/>
      <c r="AC251" s="34"/>
      <c r="AD251" s="50"/>
      <c r="AE251" s="34"/>
      <c r="AF251" s="34"/>
      <c r="AG251" s="34"/>
      <c r="AH251" s="34"/>
      <c r="AI251" s="50"/>
      <c r="AJ251" s="50"/>
      <c r="AK251" s="50"/>
      <c r="AL251" s="50"/>
      <c r="AM251" s="50"/>
      <c r="AN251" s="50"/>
    </row>
    <row r="252" ht="15.75" customHeight="1">
      <c r="A252" s="33">
        <v>249.0</v>
      </c>
      <c r="B252" s="34"/>
      <c r="C252" s="50"/>
      <c r="D252" s="34"/>
      <c r="E252" s="34"/>
      <c r="F252" s="34"/>
      <c r="G252" s="34"/>
      <c r="H252" s="34"/>
      <c r="I252" s="34"/>
      <c r="J252" s="50"/>
      <c r="K252" s="34"/>
      <c r="L252" s="34"/>
      <c r="M252" s="34"/>
      <c r="N252" s="34"/>
      <c r="O252" s="50"/>
      <c r="P252" s="34"/>
      <c r="Q252" s="34"/>
      <c r="R252" s="34"/>
      <c r="S252" s="34"/>
      <c r="T252" s="50"/>
      <c r="U252" s="34"/>
      <c r="V252" s="34"/>
      <c r="W252" s="34"/>
      <c r="X252" s="34"/>
      <c r="Y252" s="50"/>
      <c r="Z252" s="34"/>
      <c r="AA252" s="34"/>
      <c r="AB252" s="34"/>
      <c r="AC252" s="34"/>
      <c r="AD252" s="50"/>
      <c r="AE252" s="34"/>
      <c r="AF252" s="34"/>
      <c r="AG252" s="34"/>
      <c r="AH252" s="34"/>
      <c r="AI252" s="50"/>
      <c r="AJ252" s="50"/>
      <c r="AK252" s="50"/>
      <c r="AL252" s="50"/>
      <c r="AM252" s="50"/>
      <c r="AN252" s="50"/>
    </row>
    <row r="253" ht="15.75" customHeight="1">
      <c r="A253" s="33">
        <v>250.0</v>
      </c>
      <c r="B253" s="34"/>
      <c r="C253" s="50"/>
      <c r="D253" s="34"/>
      <c r="E253" s="34"/>
      <c r="F253" s="34"/>
      <c r="G253" s="34"/>
      <c r="H253" s="34"/>
      <c r="I253" s="34"/>
      <c r="J253" s="50"/>
      <c r="K253" s="34"/>
      <c r="L253" s="34"/>
      <c r="M253" s="34"/>
      <c r="N253" s="34"/>
      <c r="O253" s="50"/>
      <c r="P253" s="34"/>
      <c r="Q253" s="34"/>
      <c r="R253" s="34"/>
      <c r="S253" s="34"/>
      <c r="T253" s="50"/>
      <c r="U253" s="34"/>
      <c r="V253" s="34"/>
      <c r="W253" s="34"/>
      <c r="X253" s="34"/>
      <c r="Y253" s="50"/>
      <c r="Z253" s="34"/>
      <c r="AA253" s="34"/>
      <c r="AB253" s="34"/>
      <c r="AC253" s="34"/>
      <c r="AD253" s="50"/>
      <c r="AE253" s="34"/>
      <c r="AF253" s="34"/>
      <c r="AG253" s="34"/>
      <c r="AH253" s="34"/>
      <c r="AI253" s="50"/>
      <c r="AJ253" s="50"/>
      <c r="AK253" s="50"/>
      <c r="AL253" s="50"/>
      <c r="AM253" s="50"/>
      <c r="AN253" s="50"/>
    </row>
    <row r="254" ht="15.75" customHeight="1">
      <c r="A254" s="33">
        <v>251.0</v>
      </c>
      <c r="B254" s="34"/>
      <c r="C254" s="50"/>
      <c r="D254" s="34"/>
      <c r="E254" s="34"/>
      <c r="F254" s="34"/>
      <c r="G254" s="34"/>
      <c r="H254" s="34"/>
      <c r="I254" s="34"/>
      <c r="J254" s="50"/>
      <c r="K254" s="34"/>
      <c r="L254" s="34"/>
      <c r="M254" s="34"/>
      <c r="N254" s="34"/>
      <c r="O254" s="50"/>
      <c r="P254" s="34"/>
      <c r="Q254" s="34"/>
      <c r="R254" s="34"/>
      <c r="S254" s="34"/>
      <c r="T254" s="50"/>
      <c r="U254" s="34"/>
      <c r="V254" s="34"/>
      <c r="W254" s="34"/>
      <c r="X254" s="34"/>
      <c r="Y254" s="50"/>
      <c r="Z254" s="34"/>
      <c r="AA254" s="34"/>
      <c r="AB254" s="34"/>
      <c r="AC254" s="34"/>
      <c r="AD254" s="50"/>
      <c r="AE254" s="34"/>
      <c r="AF254" s="34"/>
      <c r="AG254" s="34"/>
      <c r="AH254" s="34"/>
      <c r="AI254" s="50"/>
      <c r="AJ254" s="50"/>
      <c r="AK254" s="50"/>
      <c r="AL254" s="50"/>
      <c r="AM254" s="50"/>
      <c r="AN254" s="50"/>
    </row>
    <row r="255" ht="15.75" customHeight="1">
      <c r="A255" s="33">
        <v>252.0</v>
      </c>
      <c r="B255" s="34"/>
      <c r="C255" s="50"/>
      <c r="D255" s="34"/>
      <c r="E255" s="34"/>
      <c r="F255" s="34"/>
      <c r="G255" s="34"/>
      <c r="H255" s="34"/>
      <c r="I255" s="34"/>
      <c r="J255" s="50"/>
      <c r="K255" s="34"/>
      <c r="L255" s="34"/>
      <c r="M255" s="34"/>
      <c r="N255" s="34"/>
      <c r="O255" s="50"/>
      <c r="P255" s="34"/>
      <c r="Q255" s="34"/>
      <c r="R255" s="34"/>
      <c r="S255" s="34"/>
      <c r="T255" s="50"/>
      <c r="U255" s="34"/>
      <c r="V255" s="34"/>
      <c r="W255" s="34"/>
      <c r="X255" s="34"/>
      <c r="Y255" s="50"/>
      <c r="Z255" s="34"/>
      <c r="AA255" s="34"/>
      <c r="AB255" s="34"/>
      <c r="AC255" s="34"/>
      <c r="AD255" s="50"/>
      <c r="AE255" s="34"/>
      <c r="AF255" s="34"/>
      <c r="AG255" s="34"/>
      <c r="AH255" s="34"/>
      <c r="AI255" s="50"/>
      <c r="AJ255" s="50"/>
      <c r="AK255" s="50"/>
      <c r="AL255" s="50"/>
      <c r="AM255" s="50"/>
      <c r="AN255" s="50"/>
    </row>
    <row r="256" ht="15.75" customHeight="1">
      <c r="A256" s="33">
        <v>253.0</v>
      </c>
      <c r="B256" s="34"/>
      <c r="C256" s="50"/>
      <c r="D256" s="34"/>
      <c r="E256" s="34"/>
      <c r="F256" s="34"/>
      <c r="G256" s="34"/>
      <c r="H256" s="34"/>
      <c r="I256" s="34"/>
      <c r="J256" s="50"/>
      <c r="K256" s="34"/>
      <c r="L256" s="34"/>
      <c r="M256" s="34"/>
      <c r="N256" s="34"/>
      <c r="O256" s="50"/>
      <c r="P256" s="34"/>
      <c r="Q256" s="34"/>
      <c r="R256" s="34"/>
      <c r="S256" s="34"/>
      <c r="T256" s="50"/>
      <c r="U256" s="34"/>
      <c r="V256" s="34"/>
      <c r="W256" s="34"/>
      <c r="X256" s="34"/>
      <c r="Y256" s="50"/>
      <c r="Z256" s="34"/>
      <c r="AA256" s="34"/>
      <c r="AB256" s="34"/>
      <c r="AC256" s="34"/>
      <c r="AD256" s="50"/>
      <c r="AE256" s="34"/>
      <c r="AF256" s="34"/>
      <c r="AG256" s="34"/>
      <c r="AH256" s="34"/>
      <c r="AI256" s="50"/>
      <c r="AJ256" s="50"/>
      <c r="AK256" s="50"/>
      <c r="AL256" s="50"/>
      <c r="AM256" s="50"/>
      <c r="AN256" s="50"/>
    </row>
    <row r="257" ht="15.75" customHeight="1">
      <c r="A257" s="84"/>
      <c r="AJ257" s="93"/>
      <c r="AK257" s="93"/>
      <c r="AL257" s="93"/>
      <c r="AM257" s="93"/>
      <c r="AN257" s="93"/>
    </row>
    <row r="258" ht="15.75" customHeight="1">
      <c r="A258" s="84"/>
      <c r="AJ258" s="93"/>
      <c r="AK258" s="93"/>
      <c r="AL258" s="93"/>
      <c r="AM258" s="93"/>
      <c r="AN258" s="93"/>
    </row>
    <row r="259" ht="15.75" customHeight="1">
      <c r="A259" s="84"/>
      <c r="AJ259" s="93"/>
      <c r="AK259" s="93"/>
      <c r="AL259" s="93"/>
      <c r="AM259" s="93"/>
      <c r="AN259" s="93"/>
    </row>
    <row r="260" ht="15.75" customHeight="1">
      <c r="A260" s="84"/>
      <c r="AJ260" s="93"/>
      <c r="AK260" s="93"/>
      <c r="AL260" s="93"/>
      <c r="AM260" s="93"/>
      <c r="AN260" s="93"/>
    </row>
    <row r="261" ht="15.75" customHeight="1">
      <c r="A261" s="84"/>
      <c r="AJ261" s="93"/>
      <c r="AK261" s="93"/>
      <c r="AL261" s="93"/>
      <c r="AM261" s="93"/>
      <c r="AN261" s="93"/>
    </row>
    <row r="262" ht="15.75" customHeight="1">
      <c r="A262" s="84"/>
      <c r="AJ262" s="93"/>
      <c r="AK262" s="93"/>
      <c r="AL262" s="93"/>
      <c r="AM262" s="93"/>
      <c r="AN262" s="93"/>
    </row>
    <row r="263" ht="15.75" customHeight="1">
      <c r="A263" s="84"/>
      <c r="AJ263" s="93"/>
      <c r="AK263" s="93"/>
      <c r="AL263" s="93"/>
      <c r="AM263" s="93"/>
      <c r="AN263" s="93"/>
    </row>
    <row r="264" ht="15.75" customHeight="1">
      <c r="A264" s="84"/>
      <c r="AJ264" s="93"/>
      <c r="AK264" s="93"/>
      <c r="AL264" s="93"/>
      <c r="AM264" s="93"/>
      <c r="AN264" s="93"/>
    </row>
    <row r="265" ht="15.75" customHeight="1">
      <c r="A265" s="84"/>
      <c r="AJ265" s="93"/>
      <c r="AK265" s="93"/>
      <c r="AL265" s="93"/>
      <c r="AM265" s="93"/>
      <c r="AN265" s="93"/>
    </row>
    <row r="266" ht="15.75" customHeight="1">
      <c r="A266" s="84"/>
      <c r="AJ266" s="93"/>
      <c r="AK266" s="93"/>
      <c r="AL266" s="93"/>
      <c r="AM266" s="93"/>
      <c r="AN266" s="93"/>
    </row>
    <row r="267" ht="15.75" customHeight="1">
      <c r="A267" s="84"/>
      <c r="AJ267" s="93"/>
      <c r="AK267" s="93"/>
      <c r="AL267" s="93"/>
      <c r="AM267" s="93"/>
      <c r="AN267" s="93"/>
    </row>
    <row r="268" ht="15.75" customHeight="1">
      <c r="A268" s="84"/>
      <c r="AJ268" s="93"/>
      <c r="AK268" s="93"/>
      <c r="AL268" s="93"/>
      <c r="AM268" s="93"/>
      <c r="AN268" s="93"/>
    </row>
    <row r="269" ht="15.75" customHeight="1">
      <c r="A269" s="84"/>
      <c r="AJ269" s="93"/>
      <c r="AK269" s="93"/>
      <c r="AL269" s="93"/>
      <c r="AM269" s="93"/>
      <c r="AN269" s="93"/>
    </row>
    <row r="270" ht="15.75" customHeight="1">
      <c r="A270" s="84"/>
      <c r="AJ270" s="93"/>
      <c r="AK270" s="93"/>
      <c r="AL270" s="93"/>
      <c r="AM270" s="93"/>
      <c r="AN270" s="93"/>
    </row>
    <row r="271" ht="15.75" customHeight="1">
      <c r="A271" s="84"/>
      <c r="AJ271" s="93"/>
      <c r="AK271" s="93"/>
      <c r="AL271" s="93"/>
      <c r="AM271" s="93"/>
      <c r="AN271" s="93"/>
    </row>
    <row r="272" ht="15.75" customHeight="1">
      <c r="A272" s="84"/>
      <c r="AJ272" s="93"/>
      <c r="AK272" s="93"/>
      <c r="AL272" s="93"/>
      <c r="AM272" s="93"/>
      <c r="AN272" s="93"/>
    </row>
    <row r="273" ht="15.75" customHeight="1">
      <c r="A273" s="84"/>
      <c r="AJ273" s="93"/>
      <c r="AK273" s="93"/>
      <c r="AL273" s="93"/>
      <c r="AM273" s="93"/>
      <c r="AN273" s="93"/>
    </row>
    <row r="274" ht="15.75" customHeight="1">
      <c r="A274" s="84"/>
      <c r="AJ274" s="93"/>
      <c r="AK274" s="93"/>
      <c r="AL274" s="93"/>
      <c r="AM274" s="93"/>
      <c r="AN274" s="93"/>
    </row>
    <row r="275" ht="15.75" customHeight="1">
      <c r="A275" s="84"/>
      <c r="AJ275" s="93"/>
      <c r="AK275" s="93"/>
      <c r="AL275" s="93"/>
      <c r="AM275" s="93"/>
      <c r="AN275" s="93"/>
    </row>
    <row r="276" ht="15.75" customHeight="1">
      <c r="A276" s="84"/>
      <c r="AJ276" s="93"/>
      <c r="AK276" s="93"/>
      <c r="AL276" s="93"/>
      <c r="AM276" s="93"/>
      <c r="AN276" s="93"/>
    </row>
    <row r="277" ht="15.75" customHeight="1">
      <c r="A277" s="84"/>
      <c r="AJ277" s="93"/>
      <c r="AK277" s="93"/>
      <c r="AL277" s="93"/>
      <c r="AM277" s="93"/>
      <c r="AN277" s="93"/>
    </row>
    <row r="278" ht="15.75" customHeight="1">
      <c r="A278" s="84"/>
      <c r="AJ278" s="93"/>
      <c r="AK278" s="93"/>
      <c r="AL278" s="93"/>
      <c r="AM278" s="93"/>
      <c r="AN278" s="93"/>
    </row>
    <row r="279" ht="15.75" customHeight="1">
      <c r="A279" s="84"/>
      <c r="AJ279" s="93"/>
      <c r="AK279" s="93"/>
      <c r="AL279" s="93"/>
      <c r="AM279" s="93"/>
      <c r="AN279" s="93"/>
    </row>
    <row r="280" ht="15.75" customHeight="1">
      <c r="A280" s="84"/>
      <c r="AJ280" s="93"/>
      <c r="AK280" s="93"/>
      <c r="AL280" s="93"/>
      <c r="AM280" s="93"/>
      <c r="AN280" s="93"/>
    </row>
    <row r="281" ht="15.75" customHeight="1">
      <c r="A281" s="84"/>
      <c r="AJ281" s="93"/>
      <c r="AK281" s="93"/>
      <c r="AL281" s="93"/>
      <c r="AM281" s="93"/>
      <c r="AN281" s="93"/>
    </row>
    <row r="282" ht="15.75" customHeight="1">
      <c r="A282" s="84"/>
      <c r="AJ282" s="93"/>
      <c r="AK282" s="93"/>
      <c r="AL282" s="93"/>
      <c r="AM282" s="93"/>
      <c r="AN282" s="93"/>
    </row>
    <row r="283" ht="15.75" customHeight="1">
      <c r="A283" s="84"/>
      <c r="AJ283" s="93"/>
      <c r="AK283" s="93"/>
      <c r="AL283" s="93"/>
      <c r="AM283" s="93"/>
      <c r="AN283" s="93"/>
    </row>
    <row r="284" ht="15.75" customHeight="1">
      <c r="A284" s="84"/>
      <c r="AJ284" s="93"/>
      <c r="AK284" s="93"/>
      <c r="AL284" s="93"/>
      <c r="AM284" s="93"/>
      <c r="AN284" s="93"/>
    </row>
    <row r="285" ht="15.75" customHeight="1">
      <c r="A285" s="84"/>
      <c r="AJ285" s="93"/>
      <c r="AK285" s="93"/>
      <c r="AL285" s="93"/>
      <c r="AM285" s="93"/>
      <c r="AN285" s="93"/>
    </row>
    <row r="286" ht="15.75" customHeight="1">
      <c r="A286" s="84"/>
      <c r="AJ286" s="93"/>
      <c r="AK286" s="93"/>
      <c r="AL286" s="93"/>
      <c r="AM286" s="93"/>
      <c r="AN286" s="93"/>
    </row>
    <row r="287" ht="15.75" customHeight="1">
      <c r="A287" s="84"/>
      <c r="AJ287" s="93"/>
      <c r="AK287" s="93"/>
      <c r="AL287" s="93"/>
      <c r="AM287" s="93"/>
      <c r="AN287" s="93"/>
    </row>
    <row r="288" ht="15.75" customHeight="1">
      <c r="A288" s="84"/>
      <c r="AJ288" s="93"/>
      <c r="AK288" s="93"/>
      <c r="AL288" s="93"/>
      <c r="AM288" s="93"/>
      <c r="AN288" s="93"/>
    </row>
    <row r="289" ht="15.75" customHeight="1">
      <c r="A289" s="84"/>
      <c r="AJ289" s="93"/>
      <c r="AK289" s="93"/>
      <c r="AL289" s="93"/>
      <c r="AM289" s="93"/>
      <c r="AN289" s="93"/>
    </row>
    <row r="290" ht="15.75" customHeight="1">
      <c r="A290" s="84"/>
      <c r="AJ290" s="93"/>
      <c r="AK290" s="93"/>
      <c r="AL290" s="93"/>
      <c r="AM290" s="93"/>
      <c r="AN290" s="93"/>
    </row>
    <row r="291" ht="15.75" customHeight="1">
      <c r="A291" s="84"/>
      <c r="AJ291" s="93"/>
      <c r="AK291" s="93"/>
      <c r="AL291" s="93"/>
      <c r="AM291" s="93"/>
      <c r="AN291" s="93"/>
    </row>
    <row r="292" ht="15.75" customHeight="1">
      <c r="A292" s="84"/>
      <c r="AJ292" s="93"/>
      <c r="AK292" s="93"/>
      <c r="AL292" s="93"/>
      <c r="AM292" s="93"/>
      <c r="AN292" s="93"/>
    </row>
    <row r="293" ht="15.75" customHeight="1">
      <c r="A293" s="84"/>
      <c r="AJ293" s="93"/>
      <c r="AK293" s="93"/>
      <c r="AL293" s="93"/>
      <c r="AM293" s="93"/>
      <c r="AN293" s="93"/>
    </row>
    <row r="294" ht="15.75" customHeight="1">
      <c r="A294" s="84"/>
      <c r="AJ294" s="93"/>
      <c r="AK294" s="93"/>
      <c r="AL294" s="93"/>
      <c r="AM294" s="93"/>
      <c r="AN294" s="93"/>
    </row>
    <row r="295" ht="15.75" customHeight="1">
      <c r="A295" s="84"/>
      <c r="AJ295" s="93"/>
      <c r="AK295" s="93"/>
      <c r="AL295" s="93"/>
      <c r="AM295" s="93"/>
      <c r="AN295" s="93"/>
    </row>
    <row r="296" ht="15.75" customHeight="1">
      <c r="A296" s="84"/>
      <c r="AJ296" s="93"/>
      <c r="AK296" s="93"/>
      <c r="AL296" s="93"/>
      <c r="AM296" s="93"/>
      <c r="AN296" s="93"/>
    </row>
    <row r="297" ht="15.75" customHeight="1">
      <c r="A297" s="84"/>
      <c r="AJ297" s="93"/>
      <c r="AK297" s="93"/>
      <c r="AL297" s="93"/>
      <c r="AM297" s="93"/>
      <c r="AN297" s="93"/>
    </row>
    <row r="298" ht="15.75" customHeight="1">
      <c r="A298" s="84"/>
      <c r="AJ298" s="93"/>
      <c r="AK298" s="93"/>
      <c r="AL298" s="93"/>
      <c r="AM298" s="93"/>
      <c r="AN298" s="93"/>
    </row>
    <row r="299" ht="15.75" customHeight="1">
      <c r="A299" s="84"/>
      <c r="AJ299" s="93"/>
      <c r="AK299" s="93"/>
      <c r="AL299" s="93"/>
      <c r="AM299" s="93"/>
      <c r="AN299" s="93"/>
    </row>
    <row r="300" ht="15.75" customHeight="1">
      <c r="A300" s="84"/>
      <c r="AJ300" s="93"/>
      <c r="AK300" s="93"/>
      <c r="AL300" s="93"/>
      <c r="AM300" s="93"/>
      <c r="AN300" s="93"/>
    </row>
    <row r="301" ht="15.75" customHeight="1">
      <c r="A301" s="84"/>
      <c r="AJ301" s="93"/>
      <c r="AK301" s="93"/>
      <c r="AL301" s="93"/>
      <c r="AM301" s="93"/>
      <c r="AN301" s="93"/>
    </row>
    <row r="302" ht="15.75" customHeight="1">
      <c r="A302" s="84"/>
      <c r="AJ302" s="93"/>
      <c r="AK302" s="93"/>
      <c r="AL302" s="93"/>
      <c r="AM302" s="93"/>
      <c r="AN302" s="93"/>
    </row>
    <row r="303" ht="15.75" customHeight="1">
      <c r="A303" s="84"/>
      <c r="AJ303" s="93"/>
      <c r="AK303" s="93"/>
      <c r="AL303" s="93"/>
      <c r="AM303" s="93"/>
      <c r="AN303" s="93"/>
    </row>
    <row r="304" ht="15.75" customHeight="1">
      <c r="A304" s="84"/>
      <c r="AJ304" s="93"/>
      <c r="AK304" s="93"/>
      <c r="AL304" s="93"/>
      <c r="AM304" s="93"/>
      <c r="AN304" s="93"/>
    </row>
    <row r="305" ht="15.75" customHeight="1">
      <c r="A305" s="84"/>
      <c r="AJ305" s="93"/>
      <c r="AK305" s="93"/>
      <c r="AL305" s="93"/>
      <c r="AM305" s="93"/>
      <c r="AN305" s="93"/>
    </row>
    <row r="306" ht="15.75" customHeight="1">
      <c r="A306" s="84"/>
      <c r="AJ306" s="93"/>
      <c r="AK306" s="93"/>
      <c r="AL306" s="93"/>
      <c r="AM306" s="93"/>
      <c r="AN306" s="93"/>
    </row>
    <row r="307" ht="15.75" customHeight="1">
      <c r="A307" s="84"/>
      <c r="AJ307" s="93"/>
      <c r="AK307" s="93"/>
      <c r="AL307" s="93"/>
      <c r="AM307" s="93"/>
      <c r="AN307" s="93"/>
    </row>
    <row r="308" ht="15.75" customHeight="1">
      <c r="A308" s="84"/>
      <c r="AJ308" s="93"/>
      <c r="AK308" s="93"/>
      <c r="AL308" s="93"/>
      <c r="AM308" s="93"/>
      <c r="AN308" s="93"/>
    </row>
    <row r="309" ht="15.75" customHeight="1">
      <c r="A309" s="84"/>
      <c r="AJ309" s="93"/>
      <c r="AK309" s="93"/>
      <c r="AL309" s="93"/>
      <c r="AM309" s="93"/>
      <c r="AN309" s="93"/>
    </row>
    <row r="310" ht="15.75" customHeight="1">
      <c r="A310" s="84"/>
      <c r="AJ310" s="93"/>
      <c r="AK310" s="93"/>
      <c r="AL310" s="93"/>
      <c r="AM310" s="93"/>
      <c r="AN310" s="93"/>
    </row>
    <row r="311" ht="15.75" customHeight="1">
      <c r="A311" s="84"/>
      <c r="AJ311" s="93"/>
      <c r="AK311" s="93"/>
      <c r="AL311" s="93"/>
      <c r="AM311" s="93"/>
      <c r="AN311" s="93"/>
    </row>
    <row r="312" ht="15.75" customHeight="1">
      <c r="A312" s="84"/>
      <c r="AJ312" s="93"/>
      <c r="AK312" s="93"/>
      <c r="AL312" s="93"/>
      <c r="AM312" s="93"/>
      <c r="AN312" s="93"/>
    </row>
    <row r="313" ht="15.75" customHeight="1">
      <c r="A313" s="84"/>
      <c r="AJ313" s="93"/>
      <c r="AK313" s="93"/>
      <c r="AL313" s="93"/>
      <c r="AM313" s="93"/>
      <c r="AN313" s="93"/>
    </row>
    <row r="314" ht="15.75" customHeight="1">
      <c r="A314" s="84"/>
      <c r="AJ314" s="93"/>
      <c r="AK314" s="93"/>
      <c r="AL314" s="93"/>
      <c r="AM314" s="93"/>
      <c r="AN314" s="93"/>
    </row>
    <row r="315" ht="15.75" customHeight="1">
      <c r="A315" s="84"/>
      <c r="AJ315" s="93"/>
      <c r="AK315" s="93"/>
      <c r="AL315" s="93"/>
      <c r="AM315" s="93"/>
      <c r="AN315" s="93"/>
    </row>
    <row r="316" ht="15.75" customHeight="1">
      <c r="A316" s="84"/>
      <c r="AJ316" s="93"/>
      <c r="AK316" s="93"/>
      <c r="AL316" s="93"/>
      <c r="AM316" s="93"/>
      <c r="AN316" s="93"/>
    </row>
    <row r="317" ht="15.75" customHeight="1">
      <c r="A317" s="84"/>
      <c r="AJ317" s="93"/>
      <c r="AK317" s="93"/>
      <c r="AL317" s="93"/>
      <c r="AM317" s="93"/>
      <c r="AN317" s="93"/>
    </row>
    <row r="318" ht="15.75" customHeight="1">
      <c r="A318" s="84"/>
      <c r="AJ318" s="93"/>
      <c r="AK318" s="93"/>
      <c r="AL318" s="93"/>
      <c r="AM318" s="93"/>
      <c r="AN318" s="93"/>
    </row>
    <row r="319" ht="15.75" customHeight="1">
      <c r="A319" s="84"/>
      <c r="AJ319" s="93"/>
      <c r="AK319" s="93"/>
      <c r="AL319" s="93"/>
      <c r="AM319" s="93"/>
      <c r="AN319" s="93"/>
    </row>
    <row r="320" ht="15.75" customHeight="1">
      <c r="A320" s="84"/>
      <c r="AJ320" s="93"/>
      <c r="AK320" s="93"/>
      <c r="AL320" s="93"/>
      <c r="AM320" s="93"/>
      <c r="AN320" s="93"/>
    </row>
    <row r="321" ht="15.75" customHeight="1">
      <c r="A321" s="84"/>
      <c r="AJ321" s="93"/>
      <c r="AK321" s="93"/>
      <c r="AL321" s="93"/>
      <c r="AM321" s="93"/>
      <c r="AN321" s="93"/>
    </row>
    <row r="322" ht="15.75" customHeight="1">
      <c r="A322" s="84"/>
      <c r="AJ322" s="93"/>
      <c r="AK322" s="93"/>
      <c r="AL322" s="93"/>
      <c r="AM322" s="93"/>
      <c r="AN322" s="93"/>
    </row>
    <row r="323" ht="15.75" customHeight="1">
      <c r="A323" s="84"/>
      <c r="AJ323" s="93"/>
      <c r="AK323" s="93"/>
      <c r="AL323" s="93"/>
      <c r="AM323" s="93"/>
      <c r="AN323" s="93"/>
    </row>
    <row r="324" ht="15.75" customHeight="1">
      <c r="A324" s="84"/>
      <c r="AJ324" s="93"/>
      <c r="AK324" s="93"/>
      <c r="AL324" s="93"/>
      <c r="AM324" s="93"/>
      <c r="AN324" s="93"/>
    </row>
    <row r="325" ht="15.75" customHeight="1">
      <c r="A325" s="84"/>
      <c r="AJ325" s="93"/>
      <c r="AK325" s="93"/>
      <c r="AL325" s="93"/>
      <c r="AM325" s="93"/>
      <c r="AN325" s="93"/>
    </row>
    <row r="326" ht="15.75" customHeight="1">
      <c r="A326" s="84"/>
      <c r="AJ326" s="93"/>
      <c r="AK326" s="93"/>
      <c r="AL326" s="93"/>
      <c r="AM326" s="93"/>
      <c r="AN326" s="93"/>
    </row>
    <row r="327" ht="15.75" customHeight="1">
      <c r="A327" s="84"/>
      <c r="AJ327" s="93"/>
      <c r="AK327" s="93"/>
      <c r="AL327" s="93"/>
      <c r="AM327" s="93"/>
      <c r="AN327" s="93"/>
    </row>
    <row r="328" ht="15.75" customHeight="1">
      <c r="A328" s="84"/>
      <c r="AJ328" s="93"/>
      <c r="AK328" s="93"/>
      <c r="AL328" s="93"/>
      <c r="AM328" s="93"/>
      <c r="AN328" s="93"/>
    </row>
    <row r="329" ht="15.75" customHeight="1">
      <c r="A329" s="84"/>
      <c r="AJ329" s="93"/>
      <c r="AK329" s="93"/>
      <c r="AL329" s="93"/>
      <c r="AM329" s="93"/>
      <c r="AN329" s="93"/>
    </row>
    <row r="330" ht="15.75" customHeight="1">
      <c r="A330" s="84"/>
      <c r="AJ330" s="93"/>
      <c r="AK330" s="93"/>
      <c r="AL330" s="93"/>
      <c r="AM330" s="93"/>
      <c r="AN330" s="93"/>
    </row>
    <row r="331" ht="15.75" customHeight="1">
      <c r="A331" s="84"/>
      <c r="AJ331" s="93"/>
      <c r="AK331" s="93"/>
      <c r="AL331" s="93"/>
      <c r="AM331" s="93"/>
      <c r="AN331" s="93"/>
    </row>
    <row r="332" ht="15.75" customHeight="1">
      <c r="A332" s="84"/>
      <c r="AJ332" s="93"/>
      <c r="AK332" s="93"/>
      <c r="AL332" s="93"/>
      <c r="AM332" s="93"/>
      <c r="AN332" s="93"/>
    </row>
    <row r="333" ht="15.75" customHeight="1">
      <c r="A333" s="84"/>
      <c r="AJ333" s="93"/>
      <c r="AK333" s="93"/>
      <c r="AL333" s="93"/>
      <c r="AM333" s="93"/>
      <c r="AN333" s="93"/>
    </row>
    <row r="334" ht="15.75" customHeight="1">
      <c r="A334" s="84"/>
      <c r="AJ334" s="93"/>
      <c r="AK334" s="93"/>
      <c r="AL334" s="93"/>
      <c r="AM334" s="93"/>
      <c r="AN334" s="93"/>
    </row>
    <row r="335" ht="15.75" customHeight="1">
      <c r="A335" s="84"/>
      <c r="AJ335" s="93"/>
      <c r="AK335" s="93"/>
      <c r="AL335" s="93"/>
      <c r="AM335" s="93"/>
      <c r="AN335" s="93"/>
    </row>
    <row r="336" ht="15.75" customHeight="1">
      <c r="A336" s="84"/>
      <c r="AJ336" s="93"/>
      <c r="AK336" s="93"/>
      <c r="AL336" s="93"/>
      <c r="AM336" s="93"/>
      <c r="AN336" s="93"/>
    </row>
    <row r="337" ht="15.75" customHeight="1">
      <c r="A337" s="84"/>
      <c r="AJ337" s="93"/>
      <c r="AK337" s="93"/>
      <c r="AL337" s="93"/>
      <c r="AM337" s="93"/>
      <c r="AN337" s="93"/>
    </row>
    <row r="338" ht="15.75" customHeight="1">
      <c r="A338" s="84"/>
      <c r="AJ338" s="93"/>
      <c r="AK338" s="93"/>
      <c r="AL338" s="93"/>
      <c r="AM338" s="93"/>
      <c r="AN338" s="93"/>
    </row>
    <row r="339" ht="15.75" customHeight="1">
      <c r="A339" s="84"/>
      <c r="AJ339" s="93"/>
      <c r="AK339" s="93"/>
      <c r="AL339" s="93"/>
      <c r="AM339" s="93"/>
      <c r="AN339" s="93"/>
    </row>
    <row r="340" ht="15.75" customHeight="1">
      <c r="A340" s="84"/>
      <c r="AJ340" s="93"/>
      <c r="AK340" s="93"/>
      <c r="AL340" s="93"/>
      <c r="AM340" s="93"/>
      <c r="AN340" s="93"/>
    </row>
    <row r="341" ht="15.75" customHeight="1">
      <c r="A341" s="84"/>
      <c r="AJ341" s="93"/>
      <c r="AK341" s="93"/>
      <c r="AL341" s="93"/>
      <c r="AM341" s="93"/>
      <c r="AN341" s="93"/>
    </row>
    <row r="342" ht="15.75" customHeight="1">
      <c r="A342" s="84"/>
      <c r="AJ342" s="93"/>
      <c r="AK342" s="93"/>
      <c r="AL342" s="93"/>
      <c r="AM342" s="93"/>
      <c r="AN342" s="93"/>
    </row>
    <row r="343" ht="15.75" customHeight="1">
      <c r="A343" s="84"/>
      <c r="AJ343" s="93"/>
      <c r="AK343" s="93"/>
      <c r="AL343" s="93"/>
      <c r="AM343" s="93"/>
      <c r="AN343" s="93"/>
    </row>
    <row r="344" ht="15.75" customHeight="1">
      <c r="A344" s="84"/>
      <c r="AJ344" s="93"/>
      <c r="AK344" s="93"/>
      <c r="AL344" s="93"/>
      <c r="AM344" s="93"/>
      <c r="AN344" s="93"/>
    </row>
    <row r="345" ht="15.75" customHeight="1">
      <c r="A345" s="84"/>
      <c r="AJ345" s="93"/>
      <c r="AK345" s="93"/>
      <c r="AL345" s="93"/>
      <c r="AM345" s="93"/>
      <c r="AN345" s="93"/>
    </row>
    <row r="346" ht="15.75" customHeight="1">
      <c r="A346" s="84"/>
      <c r="AJ346" s="93"/>
      <c r="AK346" s="93"/>
      <c r="AL346" s="93"/>
      <c r="AM346" s="93"/>
      <c r="AN346" s="93"/>
    </row>
    <row r="347" ht="15.75" customHeight="1">
      <c r="A347" s="84"/>
      <c r="AJ347" s="93"/>
      <c r="AK347" s="93"/>
      <c r="AL347" s="93"/>
      <c r="AM347" s="93"/>
      <c r="AN347" s="93"/>
    </row>
    <row r="348" ht="15.75" customHeight="1">
      <c r="A348" s="84"/>
      <c r="AJ348" s="93"/>
      <c r="AK348" s="93"/>
      <c r="AL348" s="93"/>
      <c r="AM348" s="93"/>
      <c r="AN348" s="93"/>
    </row>
    <row r="349" ht="15.75" customHeight="1">
      <c r="A349" s="84"/>
      <c r="AJ349" s="93"/>
      <c r="AK349" s="93"/>
      <c r="AL349" s="93"/>
      <c r="AM349" s="93"/>
      <c r="AN349" s="93"/>
    </row>
    <row r="350" ht="15.75" customHeight="1">
      <c r="A350" s="84"/>
      <c r="AJ350" s="93"/>
      <c r="AK350" s="93"/>
      <c r="AL350" s="93"/>
      <c r="AM350" s="93"/>
      <c r="AN350" s="93"/>
    </row>
    <row r="351" ht="15.75" customHeight="1">
      <c r="A351" s="84"/>
      <c r="AJ351" s="93"/>
      <c r="AK351" s="93"/>
      <c r="AL351" s="93"/>
      <c r="AM351" s="93"/>
      <c r="AN351" s="93"/>
    </row>
    <row r="352" ht="15.75" customHeight="1">
      <c r="A352" s="84"/>
      <c r="AJ352" s="93"/>
      <c r="AK352" s="93"/>
      <c r="AL352" s="93"/>
      <c r="AM352" s="93"/>
      <c r="AN352" s="93"/>
    </row>
    <row r="353" ht="15.75" customHeight="1">
      <c r="A353" s="84"/>
      <c r="AJ353" s="93"/>
      <c r="AK353" s="93"/>
      <c r="AL353" s="93"/>
      <c r="AM353" s="93"/>
      <c r="AN353" s="93"/>
    </row>
    <row r="354" ht="15.75" customHeight="1">
      <c r="A354" s="84"/>
      <c r="AJ354" s="93"/>
      <c r="AK354" s="93"/>
      <c r="AL354" s="93"/>
      <c r="AM354" s="93"/>
      <c r="AN354" s="93"/>
    </row>
    <row r="355" ht="15.75" customHeight="1">
      <c r="A355" s="84"/>
      <c r="AJ355" s="93"/>
      <c r="AK355" s="93"/>
      <c r="AL355" s="93"/>
      <c r="AM355" s="93"/>
      <c r="AN355" s="93"/>
    </row>
    <row r="356" ht="15.75" customHeight="1">
      <c r="A356" s="84"/>
      <c r="AJ356" s="93"/>
      <c r="AK356" s="93"/>
      <c r="AL356" s="93"/>
      <c r="AM356" s="93"/>
      <c r="AN356" s="93"/>
    </row>
    <row r="357" ht="15.75" customHeight="1">
      <c r="A357" s="84"/>
      <c r="AJ357" s="93"/>
      <c r="AK357" s="93"/>
      <c r="AL357" s="93"/>
      <c r="AM357" s="93"/>
      <c r="AN357" s="93"/>
    </row>
    <row r="358" ht="15.75" customHeight="1">
      <c r="A358" s="84"/>
      <c r="AJ358" s="93"/>
      <c r="AK358" s="93"/>
      <c r="AL358" s="93"/>
      <c r="AM358" s="93"/>
      <c r="AN358" s="93"/>
    </row>
    <row r="359" ht="15.75" customHeight="1">
      <c r="A359" s="84"/>
      <c r="AJ359" s="93"/>
      <c r="AK359" s="93"/>
      <c r="AL359" s="93"/>
      <c r="AM359" s="93"/>
      <c r="AN359" s="93"/>
    </row>
    <row r="360" ht="15.75" customHeight="1">
      <c r="A360" s="84"/>
      <c r="AJ360" s="93"/>
      <c r="AK360" s="93"/>
      <c r="AL360" s="93"/>
      <c r="AM360" s="93"/>
      <c r="AN360" s="93"/>
    </row>
    <row r="361" ht="15.75" customHeight="1">
      <c r="A361" s="84"/>
      <c r="AJ361" s="93"/>
      <c r="AK361" s="93"/>
      <c r="AL361" s="93"/>
      <c r="AM361" s="93"/>
      <c r="AN361" s="93"/>
    </row>
    <row r="362" ht="15.75" customHeight="1">
      <c r="A362" s="84"/>
      <c r="AJ362" s="93"/>
      <c r="AK362" s="93"/>
      <c r="AL362" s="93"/>
      <c r="AM362" s="93"/>
      <c r="AN362" s="93"/>
    </row>
    <row r="363" ht="15.75" customHeight="1">
      <c r="A363" s="84"/>
      <c r="AJ363" s="93"/>
      <c r="AK363" s="93"/>
      <c r="AL363" s="93"/>
      <c r="AM363" s="93"/>
      <c r="AN363" s="93"/>
    </row>
    <row r="364" ht="15.75" customHeight="1">
      <c r="A364" s="84"/>
      <c r="AJ364" s="93"/>
      <c r="AK364" s="93"/>
      <c r="AL364" s="93"/>
      <c r="AM364" s="93"/>
      <c r="AN364" s="93"/>
    </row>
    <row r="365" ht="15.75" customHeight="1">
      <c r="A365" s="84"/>
      <c r="AJ365" s="93"/>
      <c r="AK365" s="93"/>
      <c r="AL365" s="93"/>
      <c r="AM365" s="93"/>
      <c r="AN365" s="93"/>
    </row>
    <row r="366" ht="15.75" customHeight="1">
      <c r="A366" s="84"/>
      <c r="AJ366" s="93"/>
      <c r="AK366" s="93"/>
      <c r="AL366" s="93"/>
      <c r="AM366" s="93"/>
      <c r="AN366" s="93"/>
    </row>
    <row r="367" ht="15.75" customHeight="1">
      <c r="A367" s="84"/>
      <c r="AJ367" s="93"/>
      <c r="AK367" s="93"/>
      <c r="AL367" s="93"/>
      <c r="AM367" s="93"/>
      <c r="AN367" s="93"/>
    </row>
    <row r="368" ht="15.75" customHeight="1">
      <c r="A368" s="84"/>
      <c r="AJ368" s="93"/>
      <c r="AK368" s="93"/>
      <c r="AL368" s="93"/>
      <c r="AM368" s="93"/>
      <c r="AN368" s="93"/>
    </row>
    <row r="369" ht="15.75" customHeight="1">
      <c r="A369" s="84"/>
      <c r="AJ369" s="93"/>
      <c r="AK369" s="93"/>
      <c r="AL369" s="93"/>
      <c r="AM369" s="93"/>
      <c r="AN369" s="93"/>
    </row>
    <row r="370" ht="15.75" customHeight="1">
      <c r="A370" s="84"/>
      <c r="AJ370" s="93"/>
      <c r="AK370" s="93"/>
      <c r="AL370" s="93"/>
      <c r="AM370" s="93"/>
      <c r="AN370" s="93"/>
    </row>
    <row r="371" ht="15.75" customHeight="1">
      <c r="A371" s="84"/>
      <c r="AJ371" s="93"/>
      <c r="AK371" s="93"/>
      <c r="AL371" s="93"/>
      <c r="AM371" s="93"/>
      <c r="AN371" s="93"/>
    </row>
    <row r="372" ht="15.75" customHeight="1">
      <c r="A372" s="84"/>
      <c r="AJ372" s="93"/>
      <c r="AK372" s="93"/>
      <c r="AL372" s="93"/>
      <c r="AM372" s="93"/>
      <c r="AN372" s="93"/>
    </row>
    <row r="373" ht="15.75" customHeight="1">
      <c r="A373" s="84"/>
      <c r="AJ373" s="93"/>
      <c r="AK373" s="93"/>
      <c r="AL373" s="93"/>
      <c r="AM373" s="93"/>
      <c r="AN373" s="93"/>
    </row>
    <row r="374" ht="15.75" customHeight="1">
      <c r="A374" s="84"/>
      <c r="AJ374" s="93"/>
      <c r="AK374" s="93"/>
      <c r="AL374" s="93"/>
      <c r="AM374" s="93"/>
      <c r="AN374" s="93"/>
    </row>
    <row r="375" ht="15.75" customHeight="1">
      <c r="A375" s="84"/>
      <c r="AJ375" s="93"/>
      <c r="AK375" s="93"/>
      <c r="AL375" s="93"/>
      <c r="AM375" s="93"/>
      <c r="AN375" s="93"/>
    </row>
    <row r="376" ht="15.75" customHeight="1">
      <c r="A376" s="84"/>
      <c r="AJ376" s="93"/>
      <c r="AK376" s="93"/>
      <c r="AL376" s="93"/>
      <c r="AM376" s="93"/>
      <c r="AN376" s="93"/>
    </row>
    <row r="377" ht="15.75" customHeight="1">
      <c r="A377" s="84"/>
      <c r="AJ377" s="93"/>
      <c r="AK377" s="93"/>
      <c r="AL377" s="93"/>
      <c r="AM377" s="93"/>
      <c r="AN377" s="93"/>
    </row>
    <row r="378" ht="15.75" customHeight="1">
      <c r="A378" s="84"/>
      <c r="AJ378" s="93"/>
      <c r="AK378" s="93"/>
      <c r="AL378" s="93"/>
      <c r="AM378" s="93"/>
      <c r="AN378" s="93"/>
    </row>
    <row r="379" ht="15.75" customHeight="1">
      <c r="A379" s="84"/>
      <c r="AJ379" s="93"/>
      <c r="AK379" s="93"/>
      <c r="AL379" s="93"/>
      <c r="AM379" s="93"/>
      <c r="AN379" s="93"/>
    </row>
    <row r="380" ht="15.75" customHeight="1">
      <c r="A380" s="84"/>
      <c r="AJ380" s="93"/>
      <c r="AK380" s="93"/>
      <c r="AL380" s="93"/>
      <c r="AM380" s="93"/>
      <c r="AN380" s="93"/>
    </row>
    <row r="381" ht="15.75" customHeight="1">
      <c r="A381" s="84"/>
      <c r="AJ381" s="93"/>
      <c r="AK381" s="93"/>
      <c r="AL381" s="93"/>
      <c r="AM381" s="93"/>
      <c r="AN381" s="93"/>
    </row>
    <row r="382" ht="15.75" customHeight="1">
      <c r="A382" s="84"/>
      <c r="AJ382" s="93"/>
      <c r="AK382" s="93"/>
      <c r="AL382" s="93"/>
      <c r="AM382" s="93"/>
      <c r="AN382" s="93"/>
    </row>
    <row r="383" ht="15.75" customHeight="1">
      <c r="A383" s="84"/>
      <c r="AJ383" s="93"/>
      <c r="AK383" s="93"/>
      <c r="AL383" s="93"/>
      <c r="AM383" s="93"/>
      <c r="AN383" s="93"/>
    </row>
    <row r="384" ht="15.75" customHeight="1">
      <c r="A384" s="84"/>
      <c r="AJ384" s="93"/>
      <c r="AK384" s="93"/>
      <c r="AL384" s="93"/>
      <c r="AM384" s="93"/>
      <c r="AN384" s="93"/>
    </row>
    <row r="385" ht="15.75" customHeight="1">
      <c r="A385" s="84"/>
      <c r="AJ385" s="93"/>
      <c r="AK385" s="93"/>
      <c r="AL385" s="93"/>
      <c r="AM385" s="93"/>
      <c r="AN385" s="93"/>
    </row>
    <row r="386" ht="15.75" customHeight="1">
      <c r="A386" s="84"/>
      <c r="AJ386" s="93"/>
      <c r="AK386" s="93"/>
      <c r="AL386" s="93"/>
      <c r="AM386" s="93"/>
      <c r="AN386" s="93"/>
    </row>
    <row r="387" ht="15.75" customHeight="1">
      <c r="A387" s="84"/>
      <c r="AJ387" s="93"/>
      <c r="AK387" s="93"/>
      <c r="AL387" s="93"/>
      <c r="AM387" s="93"/>
      <c r="AN387" s="93"/>
    </row>
    <row r="388" ht="15.75" customHeight="1">
      <c r="A388" s="84"/>
      <c r="AJ388" s="93"/>
      <c r="AK388" s="93"/>
      <c r="AL388" s="93"/>
      <c r="AM388" s="93"/>
      <c r="AN388" s="93"/>
    </row>
    <row r="389" ht="15.75" customHeight="1">
      <c r="A389" s="84"/>
      <c r="AJ389" s="93"/>
      <c r="AK389" s="93"/>
      <c r="AL389" s="93"/>
      <c r="AM389" s="93"/>
      <c r="AN389" s="93"/>
    </row>
    <row r="390" ht="15.75" customHeight="1">
      <c r="A390" s="84"/>
      <c r="AJ390" s="93"/>
      <c r="AK390" s="93"/>
      <c r="AL390" s="93"/>
      <c r="AM390" s="93"/>
      <c r="AN390" s="93"/>
    </row>
    <row r="391" ht="15.75" customHeight="1">
      <c r="A391" s="84"/>
      <c r="AJ391" s="93"/>
      <c r="AK391" s="93"/>
      <c r="AL391" s="93"/>
      <c r="AM391" s="93"/>
      <c r="AN391" s="93"/>
    </row>
    <row r="392" ht="15.75" customHeight="1">
      <c r="A392" s="84"/>
      <c r="AJ392" s="93"/>
      <c r="AK392" s="93"/>
      <c r="AL392" s="93"/>
      <c r="AM392" s="93"/>
      <c r="AN392" s="93"/>
    </row>
    <row r="393" ht="15.75" customHeight="1">
      <c r="A393" s="84"/>
      <c r="AJ393" s="93"/>
      <c r="AK393" s="93"/>
      <c r="AL393" s="93"/>
      <c r="AM393" s="93"/>
      <c r="AN393" s="93"/>
    </row>
    <row r="394" ht="15.75" customHeight="1">
      <c r="A394" s="84"/>
      <c r="AJ394" s="93"/>
      <c r="AK394" s="93"/>
      <c r="AL394" s="93"/>
      <c r="AM394" s="93"/>
      <c r="AN394" s="93"/>
    </row>
    <row r="395" ht="15.75" customHeight="1">
      <c r="A395" s="84"/>
      <c r="AJ395" s="93"/>
      <c r="AK395" s="93"/>
      <c r="AL395" s="93"/>
      <c r="AM395" s="93"/>
      <c r="AN395" s="93"/>
    </row>
    <row r="396" ht="15.75" customHeight="1">
      <c r="A396" s="84"/>
      <c r="AJ396" s="93"/>
      <c r="AK396" s="93"/>
      <c r="AL396" s="93"/>
      <c r="AM396" s="93"/>
      <c r="AN396" s="93"/>
    </row>
    <row r="397" ht="15.75" customHeight="1">
      <c r="A397" s="84"/>
      <c r="AJ397" s="93"/>
      <c r="AK397" s="93"/>
      <c r="AL397" s="93"/>
      <c r="AM397" s="93"/>
      <c r="AN397" s="93"/>
    </row>
    <row r="398" ht="15.75" customHeight="1">
      <c r="A398" s="84"/>
      <c r="AJ398" s="93"/>
      <c r="AK398" s="93"/>
      <c r="AL398" s="93"/>
      <c r="AM398" s="93"/>
      <c r="AN398" s="93"/>
    </row>
    <row r="399" ht="15.75" customHeight="1">
      <c r="A399" s="84"/>
      <c r="AJ399" s="93"/>
      <c r="AK399" s="93"/>
      <c r="AL399" s="93"/>
      <c r="AM399" s="93"/>
      <c r="AN399" s="93"/>
    </row>
    <row r="400" ht="15.75" customHeight="1">
      <c r="A400" s="84"/>
      <c r="AJ400" s="93"/>
      <c r="AK400" s="93"/>
      <c r="AL400" s="93"/>
      <c r="AM400" s="93"/>
      <c r="AN400" s="93"/>
    </row>
    <row r="401" ht="15.75" customHeight="1">
      <c r="A401" s="84"/>
      <c r="AJ401" s="93"/>
      <c r="AK401" s="93"/>
      <c r="AL401" s="93"/>
      <c r="AM401" s="93"/>
      <c r="AN401" s="93"/>
    </row>
    <row r="402" ht="15.75" customHeight="1">
      <c r="A402" s="84"/>
      <c r="AJ402" s="93"/>
      <c r="AK402" s="93"/>
      <c r="AL402" s="93"/>
      <c r="AM402" s="93"/>
      <c r="AN402" s="93"/>
    </row>
    <row r="403" ht="15.75" customHeight="1">
      <c r="A403" s="84"/>
      <c r="AJ403" s="93"/>
      <c r="AK403" s="93"/>
      <c r="AL403" s="93"/>
      <c r="AM403" s="93"/>
      <c r="AN403" s="93"/>
    </row>
    <row r="404" ht="15.75" customHeight="1">
      <c r="A404" s="84"/>
      <c r="AJ404" s="93"/>
      <c r="AK404" s="93"/>
      <c r="AL404" s="93"/>
      <c r="AM404" s="93"/>
      <c r="AN404" s="93"/>
    </row>
    <row r="405" ht="15.75" customHeight="1">
      <c r="A405" s="84"/>
      <c r="AJ405" s="93"/>
      <c r="AK405" s="93"/>
      <c r="AL405" s="93"/>
      <c r="AM405" s="93"/>
      <c r="AN405" s="93"/>
    </row>
    <row r="406" ht="15.75" customHeight="1">
      <c r="A406" s="84"/>
      <c r="AJ406" s="93"/>
      <c r="AK406" s="93"/>
      <c r="AL406" s="93"/>
      <c r="AM406" s="93"/>
      <c r="AN406" s="93"/>
    </row>
    <row r="407" ht="15.75" customHeight="1">
      <c r="A407" s="84"/>
      <c r="AJ407" s="93"/>
      <c r="AK407" s="93"/>
      <c r="AL407" s="93"/>
      <c r="AM407" s="93"/>
      <c r="AN407" s="93"/>
    </row>
    <row r="408" ht="15.75" customHeight="1">
      <c r="A408" s="84"/>
      <c r="AJ408" s="93"/>
      <c r="AK408" s="93"/>
      <c r="AL408" s="93"/>
      <c r="AM408" s="93"/>
      <c r="AN408" s="93"/>
    </row>
    <row r="409" ht="15.75" customHeight="1">
      <c r="A409" s="84"/>
      <c r="AJ409" s="93"/>
      <c r="AK409" s="93"/>
      <c r="AL409" s="93"/>
      <c r="AM409" s="93"/>
      <c r="AN409" s="93"/>
    </row>
    <row r="410" ht="15.75" customHeight="1">
      <c r="A410" s="84"/>
      <c r="AJ410" s="93"/>
      <c r="AK410" s="93"/>
      <c r="AL410" s="93"/>
      <c r="AM410" s="93"/>
      <c r="AN410" s="93"/>
    </row>
    <row r="411" ht="15.75" customHeight="1">
      <c r="A411" s="84"/>
      <c r="AJ411" s="93"/>
      <c r="AK411" s="93"/>
      <c r="AL411" s="93"/>
      <c r="AM411" s="93"/>
      <c r="AN411" s="93"/>
    </row>
    <row r="412" ht="15.75" customHeight="1">
      <c r="A412" s="84"/>
      <c r="AJ412" s="93"/>
      <c r="AK412" s="93"/>
      <c r="AL412" s="93"/>
      <c r="AM412" s="93"/>
      <c r="AN412" s="93"/>
    </row>
    <row r="413" ht="15.75" customHeight="1">
      <c r="A413" s="84"/>
      <c r="AJ413" s="93"/>
      <c r="AK413" s="93"/>
      <c r="AL413" s="93"/>
      <c r="AM413" s="93"/>
      <c r="AN413" s="93"/>
    </row>
    <row r="414" ht="15.75" customHeight="1">
      <c r="A414" s="84"/>
      <c r="AJ414" s="93"/>
      <c r="AK414" s="93"/>
      <c r="AL414" s="93"/>
      <c r="AM414" s="93"/>
      <c r="AN414" s="93"/>
    </row>
    <row r="415" ht="15.75" customHeight="1">
      <c r="A415" s="84"/>
      <c r="AJ415" s="93"/>
      <c r="AK415" s="93"/>
      <c r="AL415" s="93"/>
      <c r="AM415" s="93"/>
      <c r="AN415" s="93"/>
    </row>
    <row r="416" ht="15.75" customHeight="1">
      <c r="A416" s="84"/>
      <c r="AJ416" s="93"/>
      <c r="AK416" s="93"/>
      <c r="AL416" s="93"/>
      <c r="AM416" s="93"/>
      <c r="AN416" s="93"/>
    </row>
    <row r="417" ht="15.75" customHeight="1">
      <c r="A417" s="84"/>
      <c r="AJ417" s="93"/>
      <c r="AK417" s="93"/>
      <c r="AL417" s="93"/>
      <c r="AM417" s="93"/>
      <c r="AN417" s="93"/>
    </row>
    <row r="418" ht="15.75" customHeight="1">
      <c r="A418" s="84"/>
      <c r="AJ418" s="93"/>
      <c r="AK418" s="93"/>
      <c r="AL418" s="93"/>
      <c r="AM418" s="93"/>
      <c r="AN418" s="93"/>
    </row>
    <row r="419" ht="15.75" customHeight="1">
      <c r="A419" s="84"/>
      <c r="AJ419" s="93"/>
      <c r="AK419" s="93"/>
      <c r="AL419" s="93"/>
      <c r="AM419" s="93"/>
      <c r="AN419" s="93"/>
    </row>
    <row r="420" ht="15.75" customHeight="1">
      <c r="A420" s="84"/>
      <c r="AJ420" s="93"/>
      <c r="AK420" s="93"/>
      <c r="AL420" s="93"/>
      <c r="AM420" s="93"/>
      <c r="AN420" s="93"/>
    </row>
    <row r="421" ht="15.75" customHeight="1">
      <c r="A421" s="84"/>
      <c r="AJ421" s="93"/>
      <c r="AK421" s="93"/>
      <c r="AL421" s="93"/>
      <c r="AM421" s="93"/>
      <c r="AN421" s="93"/>
    </row>
    <row r="422" ht="15.75" customHeight="1">
      <c r="A422" s="84"/>
      <c r="AJ422" s="93"/>
      <c r="AK422" s="93"/>
      <c r="AL422" s="93"/>
      <c r="AM422" s="93"/>
      <c r="AN422" s="93"/>
    </row>
    <row r="423" ht="15.75" customHeight="1">
      <c r="A423" s="84"/>
      <c r="AJ423" s="93"/>
      <c r="AK423" s="93"/>
      <c r="AL423" s="93"/>
      <c r="AM423" s="93"/>
      <c r="AN423" s="93"/>
    </row>
    <row r="424" ht="15.75" customHeight="1">
      <c r="A424" s="84"/>
      <c r="AJ424" s="93"/>
      <c r="AK424" s="93"/>
      <c r="AL424" s="93"/>
      <c r="AM424" s="93"/>
      <c r="AN424" s="93"/>
    </row>
    <row r="425" ht="15.75" customHeight="1">
      <c r="A425" s="84"/>
      <c r="AJ425" s="93"/>
      <c r="AK425" s="93"/>
      <c r="AL425" s="93"/>
      <c r="AM425" s="93"/>
      <c r="AN425" s="93"/>
    </row>
    <row r="426" ht="15.75" customHeight="1">
      <c r="A426" s="84"/>
      <c r="AJ426" s="93"/>
      <c r="AK426" s="93"/>
      <c r="AL426" s="93"/>
      <c r="AM426" s="93"/>
      <c r="AN426" s="93"/>
    </row>
    <row r="427" ht="15.75" customHeight="1">
      <c r="A427" s="84"/>
      <c r="AJ427" s="93"/>
      <c r="AK427" s="93"/>
      <c r="AL427" s="93"/>
      <c r="AM427" s="93"/>
      <c r="AN427" s="93"/>
    </row>
    <row r="428" ht="15.75" customHeight="1">
      <c r="A428" s="84"/>
      <c r="AJ428" s="93"/>
      <c r="AK428" s="93"/>
      <c r="AL428" s="93"/>
      <c r="AM428" s="93"/>
      <c r="AN428" s="93"/>
    </row>
    <row r="429" ht="15.75" customHeight="1">
      <c r="A429" s="84"/>
      <c r="AJ429" s="93"/>
      <c r="AK429" s="93"/>
      <c r="AL429" s="93"/>
      <c r="AM429" s="93"/>
      <c r="AN429" s="93"/>
    </row>
    <row r="430" ht="15.75" customHeight="1">
      <c r="A430" s="84"/>
      <c r="AJ430" s="93"/>
      <c r="AK430" s="93"/>
      <c r="AL430" s="93"/>
      <c r="AM430" s="93"/>
      <c r="AN430" s="93"/>
    </row>
    <row r="431" ht="15.75" customHeight="1">
      <c r="A431" s="84"/>
      <c r="AJ431" s="93"/>
      <c r="AK431" s="93"/>
      <c r="AL431" s="93"/>
      <c r="AM431" s="93"/>
      <c r="AN431" s="93"/>
    </row>
    <row r="432" ht="15.75" customHeight="1">
      <c r="A432" s="84"/>
      <c r="AJ432" s="93"/>
      <c r="AK432" s="93"/>
      <c r="AL432" s="93"/>
      <c r="AM432" s="93"/>
      <c r="AN432" s="93"/>
    </row>
    <row r="433" ht="15.75" customHeight="1">
      <c r="A433" s="84"/>
      <c r="AJ433" s="93"/>
      <c r="AK433" s="93"/>
      <c r="AL433" s="93"/>
      <c r="AM433" s="93"/>
      <c r="AN433" s="93"/>
    </row>
    <row r="434" ht="15.75" customHeight="1">
      <c r="A434" s="84"/>
      <c r="AJ434" s="93"/>
      <c r="AK434" s="93"/>
      <c r="AL434" s="93"/>
      <c r="AM434" s="93"/>
      <c r="AN434" s="93"/>
    </row>
    <row r="435" ht="15.75" customHeight="1">
      <c r="A435" s="84"/>
      <c r="AJ435" s="93"/>
      <c r="AK435" s="93"/>
      <c r="AL435" s="93"/>
      <c r="AM435" s="93"/>
      <c r="AN435" s="93"/>
    </row>
    <row r="436" ht="15.75" customHeight="1">
      <c r="A436" s="84"/>
      <c r="AJ436" s="93"/>
      <c r="AK436" s="93"/>
      <c r="AL436" s="93"/>
      <c r="AM436" s="93"/>
      <c r="AN436" s="93"/>
    </row>
    <row r="437" ht="15.75" customHeight="1">
      <c r="A437" s="84"/>
      <c r="AJ437" s="93"/>
      <c r="AK437" s="93"/>
      <c r="AL437" s="93"/>
      <c r="AM437" s="93"/>
      <c r="AN437" s="93"/>
    </row>
    <row r="438" ht="15.75" customHeight="1">
      <c r="A438" s="84"/>
      <c r="AJ438" s="93"/>
      <c r="AK438" s="93"/>
      <c r="AL438" s="93"/>
      <c r="AM438" s="93"/>
      <c r="AN438" s="93"/>
    </row>
    <row r="439" ht="15.75" customHeight="1">
      <c r="A439" s="84"/>
      <c r="AJ439" s="93"/>
      <c r="AK439" s="93"/>
      <c r="AL439" s="93"/>
      <c r="AM439" s="93"/>
      <c r="AN439" s="93"/>
    </row>
    <row r="440" ht="15.75" customHeight="1">
      <c r="A440" s="84"/>
      <c r="AJ440" s="93"/>
      <c r="AK440" s="93"/>
      <c r="AL440" s="93"/>
      <c r="AM440" s="93"/>
      <c r="AN440" s="93"/>
    </row>
    <row r="441" ht="15.75" customHeight="1">
      <c r="A441" s="84"/>
      <c r="AJ441" s="93"/>
      <c r="AK441" s="93"/>
      <c r="AL441" s="93"/>
      <c r="AM441" s="93"/>
      <c r="AN441" s="93"/>
    </row>
    <row r="442" ht="15.75" customHeight="1">
      <c r="A442" s="84"/>
      <c r="AJ442" s="93"/>
      <c r="AK442" s="93"/>
      <c r="AL442" s="93"/>
      <c r="AM442" s="93"/>
      <c r="AN442" s="93"/>
    </row>
    <row r="443" ht="15.75" customHeight="1">
      <c r="A443" s="84"/>
      <c r="AJ443" s="93"/>
      <c r="AK443" s="93"/>
      <c r="AL443" s="93"/>
      <c r="AM443" s="93"/>
      <c r="AN443" s="93"/>
    </row>
    <row r="444" ht="15.75" customHeight="1">
      <c r="A444" s="84"/>
      <c r="AJ444" s="93"/>
      <c r="AK444" s="93"/>
      <c r="AL444" s="93"/>
      <c r="AM444" s="93"/>
      <c r="AN444" s="93"/>
    </row>
    <row r="445" ht="15.75" customHeight="1">
      <c r="A445" s="84"/>
      <c r="AJ445" s="93"/>
      <c r="AK445" s="93"/>
      <c r="AL445" s="93"/>
      <c r="AM445" s="93"/>
      <c r="AN445" s="93"/>
    </row>
    <row r="446" ht="15.75" customHeight="1">
      <c r="A446" s="84"/>
      <c r="AJ446" s="93"/>
      <c r="AK446" s="93"/>
      <c r="AL446" s="93"/>
      <c r="AM446" s="93"/>
      <c r="AN446" s="93"/>
    </row>
    <row r="447" ht="15.75" customHeight="1">
      <c r="A447" s="84"/>
      <c r="AJ447" s="93"/>
      <c r="AK447" s="93"/>
      <c r="AL447" s="93"/>
      <c r="AM447" s="93"/>
      <c r="AN447" s="93"/>
    </row>
    <row r="448" ht="15.75" customHeight="1">
      <c r="A448" s="84"/>
      <c r="AJ448" s="93"/>
      <c r="AK448" s="93"/>
      <c r="AL448" s="93"/>
      <c r="AM448" s="93"/>
      <c r="AN448" s="93"/>
    </row>
    <row r="449" ht="15.75" customHeight="1">
      <c r="A449" s="84"/>
      <c r="AJ449" s="93"/>
      <c r="AK449" s="93"/>
      <c r="AL449" s="93"/>
      <c r="AM449" s="93"/>
      <c r="AN449" s="93"/>
    </row>
    <row r="450" ht="15.75" customHeight="1">
      <c r="A450" s="84"/>
      <c r="AJ450" s="93"/>
      <c r="AK450" s="93"/>
      <c r="AL450" s="93"/>
      <c r="AM450" s="93"/>
      <c r="AN450" s="93"/>
    </row>
    <row r="451" ht="15.75" customHeight="1">
      <c r="A451" s="84"/>
      <c r="AJ451" s="93"/>
      <c r="AK451" s="93"/>
      <c r="AL451" s="93"/>
      <c r="AM451" s="93"/>
      <c r="AN451" s="93"/>
    </row>
    <row r="452" ht="15.75" customHeight="1">
      <c r="A452" s="84"/>
      <c r="AJ452" s="93"/>
      <c r="AK452" s="93"/>
      <c r="AL452" s="93"/>
      <c r="AM452" s="93"/>
      <c r="AN452" s="93"/>
    </row>
    <row r="453" ht="15.75" customHeight="1">
      <c r="A453" s="84"/>
      <c r="AJ453" s="93"/>
      <c r="AK453" s="93"/>
      <c r="AL453" s="93"/>
      <c r="AM453" s="93"/>
      <c r="AN453" s="93"/>
    </row>
    <row r="454" ht="15.75" customHeight="1">
      <c r="A454" s="84"/>
      <c r="AJ454" s="93"/>
      <c r="AK454" s="93"/>
      <c r="AL454" s="93"/>
      <c r="AM454" s="93"/>
      <c r="AN454" s="93"/>
    </row>
    <row r="455" ht="15.75" customHeight="1">
      <c r="A455" s="84"/>
      <c r="AJ455" s="93"/>
      <c r="AK455" s="93"/>
      <c r="AL455" s="93"/>
      <c r="AM455" s="93"/>
      <c r="AN455" s="93"/>
    </row>
    <row r="456" ht="15.75" customHeight="1">
      <c r="A456" s="84"/>
      <c r="AJ456" s="93"/>
      <c r="AK456" s="93"/>
      <c r="AL456" s="93"/>
      <c r="AM456" s="93"/>
      <c r="AN456" s="93"/>
    </row>
    <row r="457" ht="15.75" customHeight="1">
      <c r="AJ457" s="93"/>
      <c r="AK457" s="93"/>
      <c r="AL457" s="93"/>
      <c r="AM457" s="93"/>
      <c r="AN457" s="93"/>
    </row>
    <row r="458" ht="15.75" customHeight="1">
      <c r="AJ458" s="93"/>
      <c r="AK458" s="93"/>
      <c r="AL458" s="93"/>
      <c r="AM458" s="93"/>
      <c r="AN458" s="93"/>
    </row>
    <row r="459" ht="15.75" customHeight="1">
      <c r="AJ459" s="93"/>
      <c r="AK459" s="93"/>
      <c r="AL459" s="93"/>
      <c r="AM459" s="93"/>
      <c r="AN459" s="93"/>
    </row>
    <row r="460" ht="15.75" customHeight="1">
      <c r="AJ460" s="93"/>
      <c r="AK460" s="93"/>
      <c r="AL460" s="93"/>
      <c r="AM460" s="93"/>
      <c r="AN460" s="93"/>
    </row>
    <row r="461" ht="15.75" customHeight="1">
      <c r="AJ461" s="93"/>
      <c r="AK461" s="93"/>
      <c r="AL461" s="93"/>
      <c r="AM461" s="93"/>
      <c r="AN461" s="93"/>
    </row>
    <row r="462" ht="15.75" customHeight="1">
      <c r="AJ462" s="93"/>
      <c r="AK462" s="93"/>
      <c r="AL462" s="93"/>
      <c r="AM462" s="93"/>
      <c r="AN462" s="93"/>
    </row>
    <row r="463" ht="15.75" customHeight="1">
      <c r="AJ463" s="93"/>
      <c r="AK463" s="93"/>
      <c r="AL463" s="93"/>
      <c r="AM463" s="93"/>
      <c r="AN463" s="93"/>
    </row>
    <row r="464" ht="15.75" customHeight="1">
      <c r="AJ464" s="93"/>
      <c r="AK464" s="93"/>
      <c r="AL464" s="93"/>
      <c r="AM464" s="93"/>
      <c r="AN464" s="93"/>
    </row>
    <row r="465" ht="15.75" customHeight="1">
      <c r="AJ465" s="93"/>
      <c r="AK465" s="93"/>
      <c r="AL465" s="93"/>
      <c r="AM465" s="93"/>
      <c r="AN465" s="93"/>
    </row>
    <row r="466" ht="15.75" customHeight="1">
      <c r="AJ466" s="93"/>
      <c r="AK466" s="93"/>
      <c r="AL466" s="93"/>
      <c r="AM466" s="93"/>
      <c r="AN466" s="93"/>
    </row>
    <row r="467" ht="15.75" customHeight="1">
      <c r="AJ467" s="93"/>
      <c r="AK467" s="93"/>
      <c r="AL467" s="93"/>
      <c r="AM467" s="93"/>
      <c r="AN467" s="93"/>
    </row>
    <row r="468" ht="15.75" customHeight="1">
      <c r="AJ468" s="93"/>
      <c r="AK468" s="93"/>
      <c r="AL468" s="93"/>
      <c r="AM468" s="93"/>
      <c r="AN468" s="93"/>
    </row>
    <row r="469" ht="15.75" customHeight="1">
      <c r="AJ469" s="93"/>
      <c r="AK469" s="93"/>
      <c r="AL469" s="93"/>
      <c r="AM469" s="93"/>
      <c r="AN469" s="93"/>
    </row>
    <row r="470" ht="15.75" customHeight="1">
      <c r="AJ470" s="93"/>
      <c r="AK470" s="93"/>
      <c r="AL470" s="93"/>
      <c r="AM470" s="93"/>
      <c r="AN470" s="93"/>
    </row>
    <row r="471" ht="15.75" customHeight="1">
      <c r="AJ471" s="93"/>
      <c r="AK471" s="93"/>
      <c r="AL471" s="93"/>
      <c r="AM471" s="93"/>
      <c r="AN471" s="93"/>
    </row>
    <row r="472" ht="15.75" customHeight="1">
      <c r="AJ472" s="93"/>
      <c r="AK472" s="93"/>
      <c r="AL472" s="93"/>
      <c r="AM472" s="93"/>
      <c r="AN472" s="93"/>
    </row>
    <row r="473" ht="15.75" customHeight="1">
      <c r="AJ473" s="93"/>
      <c r="AK473" s="93"/>
      <c r="AL473" s="93"/>
      <c r="AM473" s="93"/>
      <c r="AN473" s="93"/>
    </row>
    <row r="474" ht="15.75" customHeight="1">
      <c r="AJ474" s="93"/>
      <c r="AK474" s="93"/>
      <c r="AL474" s="93"/>
      <c r="AM474" s="93"/>
      <c r="AN474" s="93"/>
    </row>
    <row r="475" ht="15.75" customHeight="1">
      <c r="AJ475" s="93"/>
      <c r="AK475" s="93"/>
      <c r="AL475" s="93"/>
      <c r="AM475" s="93"/>
      <c r="AN475" s="93"/>
    </row>
    <row r="476" ht="15.75" customHeight="1">
      <c r="AJ476" s="93"/>
      <c r="AK476" s="93"/>
      <c r="AL476" s="93"/>
      <c r="AM476" s="93"/>
      <c r="AN476" s="93"/>
    </row>
    <row r="477" ht="15.75" customHeight="1">
      <c r="AJ477" s="93"/>
      <c r="AK477" s="93"/>
      <c r="AL477" s="93"/>
      <c r="AM477" s="93"/>
      <c r="AN477" s="93"/>
    </row>
    <row r="478" ht="15.75" customHeight="1">
      <c r="AJ478" s="93"/>
      <c r="AK478" s="93"/>
      <c r="AL478" s="93"/>
      <c r="AM478" s="93"/>
      <c r="AN478" s="93"/>
    </row>
    <row r="479" ht="15.75" customHeight="1">
      <c r="AJ479" s="93"/>
      <c r="AK479" s="93"/>
      <c r="AL479" s="93"/>
      <c r="AM479" s="93"/>
      <c r="AN479" s="93"/>
    </row>
    <row r="480" ht="15.75" customHeight="1">
      <c r="AJ480" s="93"/>
      <c r="AK480" s="93"/>
      <c r="AL480" s="93"/>
      <c r="AM480" s="93"/>
      <c r="AN480" s="93"/>
    </row>
    <row r="481" ht="15.75" customHeight="1">
      <c r="AJ481" s="93"/>
      <c r="AK481" s="93"/>
      <c r="AL481" s="93"/>
      <c r="AM481" s="93"/>
      <c r="AN481" s="93"/>
    </row>
    <row r="482" ht="15.75" customHeight="1">
      <c r="AJ482" s="93"/>
      <c r="AK482" s="93"/>
      <c r="AL482" s="93"/>
      <c r="AM482" s="93"/>
      <c r="AN482" s="93"/>
    </row>
    <row r="483" ht="15.75" customHeight="1">
      <c r="AJ483" s="93"/>
      <c r="AK483" s="93"/>
      <c r="AL483" s="93"/>
      <c r="AM483" s="93"/>
      <c r="AN483" s="93"/>
    </row>
    <row r="484" ht="15.75" customHeight="1">
      <c r="AJ484" s="93"/>
      <c r="AK484" s="93"/>
      <c r="AL484" s="93"/>
      <c r="AM484" s="93"/>
      <c r="AN484" s="93"/>
    </row>
    <row r="485" ht="15.75" customHeight="1">
      <c r="AJ485" s="93"/>
      <c r="AK485" s="93"/>
      <c r="AL485" s="93"/>
      <c r="AM485" s="93"/>
      <c r="AN485" s="93"/>
    </row>
    <row r="486" ht="15.75" customHeight="1">
      <c r="AJ486" s="93"/>
      <c r="AK486" s="93"/>
      <c r="AL486" s="93"/>
      <c r="AM486" s="93"/>
      <c r="AN486" s="93"/>
    </row>
    <row r="487" ht="15.75" customHeight="1">
      <c r="AJ487" s="93"/>
      <c r="AK487" s="93"/>
      <c r="AL487" s="93"/>
      <c r="AM487" s="93"/>
      <c r="AN487" s="93"/>
    </row>
    <row r="488" ht="15.75" customHeight="1">
      <c r="AJ488" s="93"/>
      <c r="AK488" s="93"/>
      <c r="AL488" s="93"/>
      <c r="AM488" s="93"/>
      <c r="AN488" s="93"/>
    </row>
    <row r="489" ht="15.75" customHeight="1">
      <c r="AJ489" s="93"/>
      <c r="AK489" s="93"/>
      <c r="AL489" s="93"/>
      <c r="AM489" s="93"/>
      <c r="AN489" s="93"/>
    </row>
    <row r="490" ht="15.75" customHeight="1">
      <c r="AJ490" s="93"/>
      <c r="AK490" s="93"/>
      <c r="AL490" s="93"/>
      <c r="AM490" s="93"/>
      <c r="AN490" s="93"/>
    </row>
    <row r="491" ht="15.75" customHeight="1">
      <c r="AJ491" s="93"/>
      <c r="AK491" s="93"/>
      <c r="AL491" s="93"/>
      <c r="AM491" s="93"/>
      <c r="AN491" s="93"/>
    </row>
    <row r="492" ht="15.75" customHeight="1">
      <c r="AJ492" s="93"/>
      <c r="AK492" s="93"/>
      <c r="AL492" s="93"/>
      <c r="AM492" s="93"/>
      <c r="AN492" s="93"/>
    </row>
    <row r="493" ht="15.75" customHeight="1">
      <c r="AJ493" s="93"/>
      <c r="AK493" s="93"/>
      <c r="AL493" s="93"/>
      <c r="AM493" s="93"/>
      <c r="AN493" s="93"/>
    </row>
    <row r="494" ht="15.75" customHeight="1">
      <c r="AJ494" s="93"/>
      <c r="AK494" s="93"/>
      <c r="AL494" s="93"/>
      <c r="AM494" s="93"/>
      <c r="AN494" s="93"/>
    </row>
    <row r="495" ht="15.75" customHeight="1">
      <c r="AJ495" s="93"/>
      <c r="AK495" s="93"/>
      <c r="AL495" s="93"/>
      <c r="AM495" s="93"/>
      <c r="AN495" s="93"/>
    </row>
    <row r="496" ht="15.75" customHeight="1">
      <c r="AJ496" s="93"/>
      <c r="AK496" s="93"/>
      <c r="AL496" s="93"/>
      <c r="AM496" s="93"/>
      <c r="AN496" s="93"/>
    </row>
    <row r="497" ht="15.75" customHeight="1">
      <c r="AJ497" s="93"/>
      <c r="AK497" s="93"/>
      <c r="AL497" s="93"/>
      <c r="AM497" s="93"/>
      <c r="AN497" s="93"/>
    </row>
    <row r="498" ht="15.75" customHeight="1">
      <c r="AJ498" s="93"/>
      <c r="AK498" s="93"/>
      <c r="AL498" s="93"/>
      <c r="AM498" s="93"/>
      <c r="AN498" s="93"/>
    </row>
    <row r="499" ht="15.75" customHeight="1">
      <c r="AJ499" s="93"/>
      <c r="AK499" s="93"/>
      <c r="AL499" s="93"/>
      <c r="AM499" s="93"/>
      <c r="AN499" s="93"/>
    </row>
    <row r="500" ht="15.75" customHeight="1">
      <c r="AJ500" s="93"/>
      <c r="AK500" s="93"/>
      <c r="AL500" s="93"/>
      <c r="AM500" s="93"/>
      <c r="AN500" s="93"/>
    </row>
    <row r="501" ht="15.75" customHeight="1">
      <c r="AJ501" s="93"/>
      <c r="AK501" s="93"/>
      <c r="AL501" s="93"/>
      <c r="AM501" s="93"/>
      <c r="AN501" s="93"/>
    </row>
    <row r="502" ht="15.75" customHeight="1">
      <c r="AJ502" s="93"/>
      <c r="AK502" s="93"/>
      <c r="AL502" s="93"/>
      <c r="AM502" s="93"/>
      <c r="AN502" s="93"/>
    </row>
    <row r="503" ht="15.75" customHeight="1">
      <c r="AJ503" s="93"/>
      <c r="AK503" s="93"/>
      <c r="AL503" s="93"/>
      <c r="AM503" s="93"/>
      <c r="AN503" s="93"/>
    </row>
    <row r="504" ht="15.75" customHeight="1">
      <c r="AJ504" s="93"/>
      <c r="AK504" s="93"/>
      <c r="AL504" s="93"/>
      <c r="AM504" s="93"/>
      <c r="AN504" s="93"/>
    </row>
    <row r="505" ht="15.75" customHeight="1">
      <c r="AJ505" s="93"/>
      <c r="AK505" s="93"/>
      <c r="AL505" s="93"/>
      <c r="AM505" s="93"/>
      <c r="AN505" s="93"/>
    </row>
    <row r="506" ht="15.75" customHeight="1">
      <c r="AJ506" s="93"/>
      <c r="AK506" s="93"/>
      <c r="AL506" s="93"/>
      <c r="AM506" s="93"/>
      <c r="AN506" s="93"/>
    </row>
    <row r="507" ht="15.75" customHeight="1">
      <c r="AJ507" s="93"/>
      <c r="AK507" s="93"/>
      <c r="AL507" s="93"/>
      <c r="AM507" s="93"/>
      <c r="AN507" s="93"/>
    </row>
    <row r="508" ht="15.75" customHeight="1">
      <c r="AJ508" s="93"/>
      <c r="AK508" s="93"/>
      <c r="AL508" s="93"/>
      <c r="AM508" s="93"/>
      <c r="AN508" s="93"/>
    </row>
    <row r="509" ht="15.75" customHeight="1">
      <c r="AJ509" s="93"/>
      <c r="AK509" s="93"/>
      <c r="AL509" s="93"/>
      <c r="AM509" s="93"/>
      <c r="AN509" s="93"/>
    </row>
    <row r="510" ht="15.75" customHeight="1">
      <c r="AJ510" s="93"/>
      <c r="AK510" s="93"/>
      <c r="AL510" s="93"/>
      <c r="AM510" s="93"/>
      <c r="AN510" s="93"/>
    </row>
    <row r="511" ht="15.75" customHeight="1">
      <c r="AJ511" s="93"/>
      <c r="AK511" s="93"/>
      <c r="AL511" s="93"/>
      <c r="AM511" s="93"/>
      <c r="AN511" s="93"/>
    </row>
    <row r="512" ht="15.75" customHeight="1">
      <c r="AJ512" s="93"/>
      <c r="AK512" s="93"/>
      <c r="AL512" s="93"/>
      <c r="AM512" s="93"/>
      <c r="AN512" s="93"/>
    </row>
    <row r="513" ht="15.75" customHeight="1">
      <c r="AJ513" s="93"/>
      <c r="AK513" s="93"/>
      <c r="AL513" s="93"/>
      <c r="AM513" s="93"/>
      <c r="AN513" s="93"/>
    </row>
    <row r="514" ht="15.75" customHeight="1">
      <c r="AJ514" s="93"/>
      <c r="AK514" s="93"/>
      <c r="AL514" s="93"/>
      <c r="AM514" s="93"/>
      <c r="AN514" s="93"/>
    </row>
    <row r="515" ht="15.75" customHeight="1">
      <c r="AJ515" s="93"/>
      <c r="AK515" s="93"/>
      <c r="AL515" s="93"/>
      <c r="AM515" s="93"/>
      <c r="AN515" s="93"/>
    </row>
    <row r="516" ht="15.75" customHeight="1">
      <c r="AJ516" s="93"/>
      <c r="AK516" s="93"/>
      <c r="AL516" s="93"/>
      <c r="AM516" s="93"/>
      <c r="AN516" s="93"/>
    </row>
    <row r="517" ht="15.75" customHeight="1">
      <c r="AJ517" s="93"/>
      <c r="AK517" s="93"/>
      <c r="AL517" s="93"/>
      <c r="AM517" s="93"/>
      <c r="AN517" s="93"/>
    </row>
    <row r="518" ht="15.75" customHeight="1">
      <c r="AJ518" s="93"/>
      <c r="AK518" s="93"/>
      <c r="AL518" s="93"/>
      <c r="AM518" s="93"/>
      <c r="AN518" s="93"/>
    </row>
    <row r="519" ht="15.75" customHeight="1">
      <c r="AJ519" s="93"/>
      <c r="AK519" s="93"/>
      <c r="AL519" s="93"/>
      <c r="AM519" s="93"/>
      <c r="AN519" s="93"/>
    </row>
    <row r="520" ht="15.75" customHeight="1">
      <c r="AJ520" s="93"/>
      <c r="AK520" s="93"/>
      <c r="AL520" s="93"/>
      <c r="AM520" s="93"/>
      <c r="AN520" s="93"/>
    </row>
    <row r="521" ht="15.75" customHeight="1">
      <c r="AJ521" s="93"/>
      <c r="AK521" s="93"/>
      <c r="AL521" s="93"/>
      <c r="AM521" s="93"/>
      <c r="AN521" s="93"/>
    </row>
    <row r="522" ht="15.75" customHeight="1">
      <c r="AJ522" s="93"/>
      <c r="AK522" s="93"/>
      <c r="AL522" s="93"/>
      <c r="AM522" s="93"/>
      <c r="AN522" s="93"/>
    </row>
    <row r="523" ht="15.75" customHeight="1">
      <c r="AJ523" s="93"/>
      <c r="AK523" s="93"/>
      <c r="AL523" s="93"/>
      <c r="AM523" s="93"/>
      <c r="AN523" s="93"/>
    </row>
    <row r="524" ht="15.75" customHeight="1">
      <c r="AJ524" s="93"/>
      <c r="AK524" s="93"/>
      <c r="AL524" s="93"/>
      <c r="AM524" s="93"/>
      <c r="AN524" s="93"/>
    </row>
    <row r="525" ht="15.75" customHeight="1">
      <c r="AJ525" s="93"/>
      <c r="AK525" s="93"/>
      <c r="AL525" s="93"/>
      <c r="AM525" s="93"/>
      <c r="AN525" s="93"/>
    </row>
    <row r="526" ht="15.75" customHeight="1">
      <c r="AJ526" s="93"/>
      <c r="AK526" s="93"/>
      <c r="AL526" s="93"/>
      <c r="AM526" s="93"/>
      <c r="AN526" s="93"/>
    </row>
    <row r="527" ht="15.75" customHeight="1">
      <c r="AJ527" s="93"/>
      <c r="AK527" s="93"/>
      <c r="AL527" s="93"/>
      <c r="AM527" s="93"/>
      <c r="AN527" s="93"/>
    </row>
    <row r="528" ht="15.75" customHeight="1">
      <c r="AJ528" s="93"/>
      <c r="AK528" s="93"/>
      <c r="AL528" s="93"/>
      <c r="AM528" s="93"/>
      <c r="AN528" s="93"/>
    </row>
    <row r="529" ht="15.75" customHeight="1">
      <c r="AJ529" s="93"/>
      <c r="AK529" s="93"/>
      <c r="AL529" s="93"/>
      <c r="AM529" s="93"/>
      <c r="AN529" s="93"/>
    </row>
    <row r="530" ht="15.75" customHeight="1">
      <c r="AJ530" s="93"/>
      <c r="AK530" s="93"/>
      <c r="AL530" s="93"/>
      <c r="AM530" s="93"/>
      <c r="AN530" s="93"/>
    </row>
    <row r="531" ht="15.75" customHeight="1">
      <c r="AJ531" s="93"/>
      <c r="AK531" s="93"/>
      <c r="AL531" s="93"/>
      <c r="AM531" s="93"/>
      <c r="AN531" s="93"/>
    </row>
    <row r="532" ht="15.75" customHeight="1">
      <c r="AJ532" s="93"/>
      <c r="AK532" s="93"/>
      <c r="AL532" s="93"/>
      <c r="AM532" s="93"/>
      <c r="AN532" s="93"/>
    </row>
    <row r="533" ht="15.75" customHeight="1">
      <c r="AJ533" s="93"/>
      <c r="AK533" s="93"/>
      <c r="AL533" s="93"/>
      <c r="AM533" s="93"/>
      <c r="AN533" s="93"/>
    </row>
    <row r="534" ht="15.75" customHeight="1">
      <c r="AJ534" s="93"/>
      <c r="AK534" s="93"/>
      <c r="AL534" s="93"/>
      <c r="AM534" s="93"/>
      <c r="AN534" s="93"/>
    </row>
    <row r="535" ht="15.75" customHeight="1">
      <c r="AJ535" s="93"/>
      <c r="AK535" s="93"/>
      <c r="AL535" s="93"/>
      <c r="AM535" s="93"/>
      <c r="AN535" s="93"/>
    </row>
    <row r="536" ht="15.75" customHeight="1">
      <c r="AJ536" s="93"/>
      <c r="AK536" s="93"/>
      <c r="AL536" s="93"/>
      <c r="AM536" s="93"/>
      <c r="AN536" s="93"/>
    </row>
    <row r="537" ht="15.75" customHeight="1">
      <c r="AJ537" s="93"/>
      <c r="AK537" s="93"/>
      <c r="AL537" s="93"/>
      <c r="AM537" s="93"/>
      <c r="AN537" s="93"/>
    </row>
    <row r="538" ht="15.75" customHeight="1">
      <c r="AJ538" s="93"/>
      <c r="AK538" s="93"/>
      <c r="AL538" s="93"/>
      <c r="AM538" s="93"/>
      <c r="AN538" s="93"/>
    </row>
    <row r="539" ht="15.75" customHeight="1">
      <c r="AJ539" s="93"/>
      <c r="AK539" s="93"/>
      <c r="AL539" s="93"/>
      <c r="AM539" s="93"/>
      <c r="AN539" s="93"/>
    </row>
    <row r="540" ht="15.75" customHeight="1">
      <c r="AJ540" s="93"/>
      <c r="AK540" s="93"/>
      <c r="AL540" s="93"/>
      <c r="AM540" s="93"/>
      <c r="AN540" s="93"/>
    </row>
    <row r="541" ht="15.75" customHeight="1">
      <c r="AJ541" s="93"/>
      <c r="AK541" s="93"/>
      <c r="AL541" s="93"/>
      <c r="AM541" s="93"/>
      <c r="AN541" s="93"/>
    </row>
    <row r="542" ht="15.75" customHeight="1">
      <c r="AJ542" s="93"/>
      <c r="AK542" s="93"/>
      <c r="AL542" s="93"/>
      <c r="AM542" s="93"/>
      <c r="AN542" s="93"/>
    </row>
    <row r="543" ht="15.75" customHeight="1">
      <c r="AJ543" s="93"/>
      <c r="AK543" s="93"/>
      <c r="AL543" s="93"/>
      <c r="AM543" s="93"/>
      <c r="AN543" s="93"/>
    </row>
    <row r="544" ht="15.75" customHeight="1">
      <c r="AJ544" s="93"/>
      <c r="AK544" s="93"/>
      <c r="AL544" s="93"/>
      <c r="AM544" s="93"/>
      <c r="AN544" s="93"/>
    </row>
    <row r="545" ht="15.75" customHeight="1">
      <c r="AJ545" s="93"/>
      <c r="AK545" s="93"/>
      <c r="AL545" s="93"/>
      <c r="AM545" s="93"/>
      <c r="AN545" s="93"/>
    </row>
    <row r="546" ht="15.75" customHeight="1">
      <c r="AJ546" s="93"/>
      <c r="AK546" s="93"/>
      <c r="AL546" s="93"/>
      <c r="AM546" s="93"/>
      <c r="AN546" s="93"/>
    </row>
    <row r="547" ht="15.75" customHeight="1">
      <c r="AJ547" s="93"/>
      <c r="AK547" s="93"/>
      <c r="AL547" s="93"/>
      <c r="AM547" s="93"/>
      <c r="AN547" s="93"/>
    </row>
    <row r="548" ht="15.75" customHeight="1">
      <c r="AJ548" s="93"/>
      <c r="AK548" s="93"/>
      <c r="AL548" s="93"/>
      <c r="AM548" s="93"/>
      <c r="AN548" s="93"/>
    </row>
    <row r="549" ht="15.75" customHeight="1">
      <c r="AJ549" s="93"/>
      <c r="AK549" s="93"/>
      <c r="AL549" s="93"/>
      <c r="AM549" s="93"/>
      <c r="AN549" s="93"/>
    </row>
    <row r="550" ht="15.75" customHeight="1">
      <c r="AJ550" s="93"/>
      <c r="AK550" s="93"/>
      <c r="AL550" s="93"/>
      <c r="AM550" s="93"/>
      <c r="AN550" s="93"/>
    </row>
    <row r="551" ht="15.75" customHeight="1">
      <c r="AJ551" s="93"/>
      <c r="AK551" s="93"/>
      <c r="AL551" s="93"/>
      <c r="AM551" s="93"/>
      <c r="AN551" s="93"/>
    </row>
    <row r="552" ht="15.75" customHeight="1">
      <c r="AJ552" s="93"/>
      <c r="AK552" s="93"/>
      <c r="AL552" s="93"/>
      <c r="AM552" s="93"/>
      <c r="AN552" s="93"/>
    </row>
    <row r="553" ht="15.75" customHeight="1">
      <c r="AJ553" s="93"/>
      <c r="AK553" s="93"/>
      <c r="AL553" s="93"/>
      <c r="AM553" s="93"/>
      <c r="AN553" s="93"/>
    </row>
    <row r="554" ht="15.75" customHeight="1">
      <c r="AJ554" s="93"/>
      <c r="AK554" s="93"/>
      <c r="AL554" s="93"/>
      <c r="AM554" s="93"/>
      <c r="AN554" s="93"/>
    </row>
    <row r="555" ht="15.75" customHeight="1">
      <c r="AJ555" s="93"/>
      <c r="AK555" s="93"/>
      <c r="AL555" s="93"/>
      <c r="AM555" s="93"/>
      <c r="AN555" s="93"/>
    </row>
    <row r="556" ht="15.75" customHeight="1">
      <c r="AJ556" s="93"/>
      <c r="AK556" s="93"/>
      <c r="AL556" s="93"/>
      <c r="AM556" s="93"/>
      <c r="AN556" s="93"/>
    </row>
    <row r="557" ht="15.75" customHeight="1">
      <c r="AJ557" s="93"/>
      <c r="AK557" s="93"/>
      <c r="AL557" s="93"/>
      <c r="AM557" s="93"/>
      <c r="AN557" s="93"/>
    </row>
    <row r="558" ht="15.75" customHeight="1">
      <c r="AJ558" s="93"/>
      <c r="AK558" s="93"/>
      <c r="AL558" s="93"/>
      <c r="AM558" s="93"/>
      <c r="AN558" s="93"/>
    </row>
    <row r="559" ht="15.75" customHeight="1">
      <c r="AJ559" s="93"/>
      <c r="AK559" s="93"/>
      <c r="AL559" s="93"/>
      <c r="AM559" s="93"/>
      <c r="AN559" s="93"/>
    </row>
    <row r="560" ht="15.75" customHeight="1">
      <c r="AJ560" s="93"/>
      <c r="AK560" s="93"/>
      <c r="AL560" s="93"/>
      <c r="AM560" s="93"/>
      <c r="AN560" s="93"/>
    </row>
    <row r="561" ht="15.75" customHeight="1">
      <c r="AJ561" s="93"/>
      <c r="AK561" s="93"/>
      <c r="AL561" s="93"/>
      <c r="AM561" s="93"/>
      <c r="AN561" s="93"/>
    </row>
    <row r="562" ht="15.75" customHeight="1">
      <c r="AJ562" s="93"/>
      <c r="AK562" s="93"/>
      <c r="AL562" s="93"/>
      <c r="AM562" s="93"/>
      <c r="AN562" s="93"/>
    </row>
    <row r="563" ht="15.75" customHeight="1">
      <c r="AJ563" s="93"/>
      <c r="AK563" s="93"/>
      <c r="AL563" s="93"/>
      <c r="AM563" s="93"/>
      <c r="AN563" s="93"/>
    </row>
    <row r="564" ht="15.75" customHeight="1">
      <c r="AJ564" s="93"/>
      <c r="AK564" s="93"/>
      <c r="AL564" s="93"/>
      <c r="AM564" s="93"/>
      <c r="AN564" s="93"/>
    </row>
    <row r="565" ht="15.75" customHeight="1">
      <c r="AJ565" s="93"/>
      <c r="AK565" s="93"/>
      <c r="AL565" s="93"/>
      <c r="AM565" s="93"/>
      <c r="AN565" s="93"/>
    </row>
    <row r="566" ht="15.75" customHeight="1">
      <c r="AJ566" s="93"/>
      <c r="AK566" s="93"/>
      <c r="AL566" s="93"/>
      <c r="AM566" s="93"/>
      <c r="AN566" s="93"/>
    </row>
    <row r="567" ht="15.75" customHeight="1">
      <c r="AJ567" s="93"/>
      <c r="AK567" s="93"/>
      <c r="AL567" s="93"/>
      <c r="AM567" s="93"/>
      <c r="AN567" s="93"/>
    </row>
    <row r="568" ht="15.75" customHeight="1">
      <c r="AJ568" s="93"/>
      <c r="AK568" s="93"/>
      <c r="AL568" s="93"/>
      <c r="AM568" s="93"/>
      <c r="AN568" s="93"/>
    </row>
    <row r="569" ht="15.75" customHeight="1">
      <c r="AJ569" s="93"/>
      <c r="AK569" s="93"/>
      <c r="AL569" s="93"/>
      <c r="AM569" s="93"/>
      <c r="AN569" s="93"/>
    </row>
    <row r="570" ht="15.75" customHeight="1">
      <c r="AJ570" s="93"/>
      <c r="AK570" s="93"/>
      <c r="AL570" s="93"/>
      <c r="AM570" s="93"/>
      <c r="AN570" s="93"/>
    </row>
    <row r="571" ht="15.75" customHeight="1">
      <c r="AJ571" s="93"/>
      <c r="AK571" s="93"/>
      <c r="AL571" s="93"/>
      <c r="AM571" s="93"/>
      <c r="AN571" s="93"/>
    </row>
    <row r="572" ht="15.75" customHeight="1">
      <c r="AJ572" s="93"/>
      <c r="AK572" s="93"/>
      <c r="AL572" s="93"/>
      <c r="AM572" s="93"/>
      <c r="AN572" s="93"/>
    </row>
    <row r="573" ht="15.75" customHeight="1">
      <c r="AJ573" s="93"/>
      <c r="AK573" s="93"/>
      <c r="AL573" s="93"/>
      <c r="AM573" s="93"/>
      <c r="AN573" s="93"/>
    </row>
    <row r="574" ht="15.75" customHeight="1">
      <c r="AJ574" s="93"/>
      <c r="AK574" s="93"/>
      <c r="AL574" s="93"/>
      <c r="AM574" s="93"/>
      <c r="AN574" s="93"/>
    </row>
    <row r="575" ht="15.75" customHeight="1">
      <c r="AJ575" s="93"/>
      <c r="AK575" s="93"/>
      <c r="AL575" s="93"/>
      <c r="AM575" s="93"/>
      <c r="AN575" s="93"/>
    </row>
    <row r="576" ht="15.75" customHeight="1">
      <c r="AJ576" s="93"/>
      <c r="AK576" s="93"/>
      <c r="AL576" s="93"/>
      <c r="AM576" s="93"/>
      <c r="AN576" s="93"/>
    </row>
    <row r="577" ht="15.75" customHeight="1">
      <c r="AJ577" s="93"/>
      <c r="AK577" s="93"/>
      <c r="AL577" s="93"/>
      <c r="AM577" s="93"/>
      <c r="AN577" s="93"/>
    </row>
    <row r="578" ht="15.75" customHeight="1">
      <c r="AJ578" s="93"/>
      <c r="AK578" s="93"/>
      <c r="AL578" s="93"/>
      <c r="AM578" s="93"/>
      <c r="AN578" s="93"/>
    </row>
    <row r="579" ht="15.75" customHeight="1">
      <c r="AJ579" s="93"/>
      <c r="AK579" s="93"/>
      <c r="AL579" s="93"/>
      <c r="AM579" s="93"/>
      <c r="AN579" s="93"/>
    </row>
    <row r="580" ht="15.75" customHeight="1">
      <c r="AJ580" s="93"/>
      <c r="AK580" s="93"/>
      <c r="AL580" s="93"/>
      <c r="AM580" s="93"/>
      <c r="AN580" s="93"/>
    </row>
    <row r="581" ht="15.75" customHeight="1">
      <c r="AJ581" s="93"/>
      <c r="AK581" s="93"/>
      <c r="AL581" s="93"/>
      <c r="AM581" s="93"/>
      <c r="AN581" s="93"/>
    </row>
    <row r="582" ht="15.75" customHeight="1">
      <c r="AJ582" s="93"/>
      <c r="AK582" s="93"/>
      <c r="AL582" s="93"/>
      <c r="AM582" s="93"/>
      <c r="AN582" s="93"/>
    </row>
    <row r="583" ht="15.75" customHeight="1">
      <c r="AJ583" s="93"/>
      <c r="AK583" s="93"/>
      <c r="AL583" s="93"/>
      <c r="AM583" s="93"/>
      <c r="AN583" s="93"/>
    </row>
    <row r="584" ht="15.75" customHeight="1">
      <c r="AJ584" s="93"/>
      <c r="AK584" s="93"/>
      <c r="AL584" s="93"/>
      <c r="AM584" s="93"/>
      <c r="AN584" s="93"/>
    </row>
    <row r="585" ht="15.75" customHeight="1">
      <c r="AJ585" s="93"/>
      <c r="AK585" s="93"/>
      <c r="AL585" s="93"/>
      <c r="AM585" s="93"/>
      <c r="AN585" s="93"/>
    </row>
    <row r="586" ht="15.75" customHeight="1">
      <c r="AJ586" s="93"/>
      <c r="AK586" s="93"/>
      <c r="AL586" s="93"/>
      <c r="AM586" s="93"/>
      <c r="AN586" s="93"/>
    </row>
    <row r="587" ht="15.75" customHeight="1">
      <c r="AJ587" s="93"/>
      <c r="AK587" s="93"/>
      <c r="AL587" s="93"/>
      <c r="AM587" s="93"/>
      <c r="AN587" s="93"/>
    </row>
    <row r="588" ht="15.75" customHeight="1">
      <c r="AJ588" s="93"/>
      <c r="AK588" s="93"/>
      <c r="AL588" s="93"/>
      <c r="AM588" s="93"/>
      <c r="AN588" s="93"/>
    </row>
    <row r="589" ht="15.75" customHeight="1">
      <c r="AJ589" s="93"/>
      <c r="AK589" s="93"/>
      <c r="AL589" s="93"/>
      <c r="AM589" s="93"/>
      <c r="AN589" s="93"/>
    </row>
    <row r="590" ht="15.75" customHeight="1">
      <c r="AJ590" s="93"/>
      <c r="AK590" s="93"/>
      <c r="AL590" s="93"/>
      <c r="AM590" s="93"/>
      <c r="AN590" s="93"/>
    </row>
    <row r="591" ht="15.75" customHeight="1">
      <c r="AJ591" s="93"/>
      <c r="AK591" s="93"/>
      <c r="AL591" s="93"/>
      <c r="AM591" s="93"/>
      <c r="AN591" s="93"/>
    </row>
    <row r="592" ht="15.75" customHeight="1">
      <c r="AJ592" s="93"/>
      <c r="AK592" s="93"/>
      <c r="AL592" s="93"/>
      <c r="AM592" s="93"/>
      <c r="AN592" s="93"/>
    </row>
    <row r="593" ht="15.75" customHeight="1">
      <c r="AJ593" s="93"/>
      <c r="AK593" s="93"/>
      <c r="AL593" s="93"/>
      <c r="AM593" s="93"/>
      <c r="AN593" s="93"/>
    </row>
    <row r="594" ht="15.75" customHeight="1">
      <c r="AJ594" s="93"/>
      <c r="AK594" s="93"/>
      <c r="AL594" s="93"/>
      <c r="AM594" s="93"/>
      <c r="AN594" s="93"/>
    </row>
    <row r="595" ht="15.75" customHeight="1">
      <c r="AJ595" s="93"/>
      <c r="AK595" s="93"/>
      <c r="AL595" s="93"/>
      <c r="AM595" s="93"/>
      <c r="AN595" s="93"/>
    </row>
    <row r="596" ht="15.75" customHeight="1">
      <c r="AJ596" s="93"/>
      <c r="AK596" s="93"/>
      <c r="AL596" s="93"/>
      <c r="AM596" s="93"/>
      <c r="AN596" s="93"/>
    </row>
    <row r="597" ht="15.75" customHeight="1">
      <c r="AJ597" s="93"/>
      <c r="AK597" s="93"/>
      <c r="AL597" s="93"/>
      <c r="AM597" s="93"/>
      <c r="AN597" s="93"/>
    </row>
    <row r="598" ht="15.75" customHeight="1">
      <c r="AJ598" s="93"/>
      <c r="AK598" s="93"/>
      <c r="AL598" s="93"/>
      <c r="AM598" s="93"/>
      <c r="AN598" s="93"/>
    </row>
    <row r="599" ht="15.75" customHeight="1">
      <c r="AJ599" s="93"/>
      <c r="AK599" s="93"/>
      <c r="AL599" s="93"/>
      <c r="AM599" s="93"/>
      <c r="AN599" s="93"/>
    </row>
    <row r="600" ht="15.75" customHeight="1">
      <c r="AJ600" s="93"/>
      <c r="AK600" s="93"/>
      <c r="AL600" s="93"/>
      <c r="AM600" s="93"/>
      <c r="AN600" s="93"/>
    </row>
    <row r="601" ht="15.75" customHeight="1">
      <c r="AJ601" s="93"/>
      <c r="AK601" s="93"/>
      <c r="AL601" s="93"/>
      <c r="AM601" s="93"/>
      <c r="AN601" s="93"/>
    </row>
    <row r="602" ht="15.75" customHeight="1">
      <c r="AJ602" s="93"/>
      <c r="AK602" s="93"/>
      <c r="AL602" s="93"/>
      <c r="AM602" s="93"/>
      <c r="AN602" s="93"/>
    </row>
    <row r="603" ht="15.75" customHeight="1">
      <c r="AJ603" s="93"/>
      <c r="AK603" s="93"/>
      <c r="AL603" s="93"/>
      <c r="AM603" s="93"/>
      <c r="AN603" s="93"/>
    </row>
    <row r="604" ht="15.75" customHeight="1">
      <c r="AJ604" s="93"/>
      <c r="AK604" s="93"/>
      <c r="AL604" s="93"/>
      <c r="AM604" s="93"/>
      <c r="AN604" s="93"/>
    </row>
    <row r="605" ht="15.75" customHeight="1">
      <c r="AJ605" s="93"/>
      <c r="AK605" s="93"/>
      <c r="AL605" s="93"/>
      <c r="AM605" s="93"/>
      <c r="AN605" s="93"/>
    </row>
    <row r="606" ht="15.75" customHeight="1">
      <c r="AJ606" s="93"/>
      <c r="AK606" s="93"/>
      <c r="AL606" s="93"/>
      <c r="AM606" s="93"/>
      <c r="AN606" s="93"/>
    </row>
    <row r="607" ht="15.75" customHeight="1">
      <c r="AJ607" s="93"/>
      <c r="AK607" s="93"/>
      <c r="AL607" s="93"/>
      <c r="AM607" s="93"/>
      <c r="AN607" s="93"/>
    </row>
    <row r="608" ht="15.75" customHeight="1">
      <c r="AJ608" s="93"/>
      <c r="AK608" s="93"/>
      <c r="AL608" s="93"/>
      <c r="AM608" s="93"/>
      <c r="AN608" s="93"/>
    </row>
    <row r="609" ht="15.75" customHeight="1">
      <c r="AJ609" s="93"/>
      <c r="AK609" s="93"/>
      <c r="AL609" s="93"/>
      <c r="AM609" s="93"/>
      <c r="AN609" s="93"/>
    </row>
    <row r="610" ht="15.75" customHeight="1">
      <c r="AJ610" s="93"/>
      <c r="AK610" s="93"/>
      <c r="AL610" s="93"/>
      <c r="AM610" s="93"/>
      <c r="AN610" s="93"/>
    </row>
    <row r="611" ht="15.75" customHeight="1">
      <c r="AJ611" s="93"/>
      <c r="AK611" s="93"/>
      <c r="AL611" s="93"/>
      <c r="AM611" s="93"/>
      <c r="AN611" s="93"/>
    </row>
    <row r="612" ht="15.75" customHeight="1">
      <c r="AJ612" s="93"/>
      <c r="AK612" s="93"/>
      <c r="AL612" s="93"/>
      <c r="AM612" s="93"/>
      <c r="AN612" s="93"/>
    </row>
    <row r="613" ht="15.75" customHeight="1">
      <c r="AJ613" s="93"/>
      <c r="AK613" s="93"/>
      <c r="AL613" s="93"/>
      <c r="AM613" s="93"/>
      <c r="AN613" s="93"/>
    </row>
    <row r="614" ht="15.75" customHeight="1">
      <c r="AJ614" s="93"/>
      <c r="AK614" s="93"/>
      <c r="AL614" s="93"/>
      <c r="AM614" s="93"/>
      <c r="AN614" s="93"/>
    </row>
    <row r="615" ht="15.75" customHeight="1">
      <c r="AJ615" s="93"/>
      <c r="AK615" s="93"/>
      <c r="AL615" s="93"/>
      <c r="AM615" s="93"/>
      <c r="AN615" s="93"/>
    </row>
    <row r="616" ht="15.75" customHeight="1">
      <c r="AJ616" s="93"/>
      <c r="AK616" s="93"/>
      <c r="AL616" s="93"/>
      <c r="AM616" s="93"/>
      <c r="AN616" s="93"/>
    </row>
    <row r="617" ht="15.75" customHeight="1">
      <c r="AJ617" s="93"/>
      <c r="AK617" s="93"/>
      <c r="AL617" s="93"/>
      <c r="AM617" s="93"/>
      <c r="AN617" s="93"/>
    </row>
    <row r="618" ht="15.75" customHeight="1">
      <c r="AJ618" s="93"/>
      <c r="AK618" s="93"/>
      <c r="AL618" s="93"/>
      <c r="AM618" s="93"/>
      <c r="AN618" s="93"/>
    </row>
    <row r="619" ht="15.75" customHeight="1">
      <c r="AJ619" s="93"/>
      <c r="AK619" s="93"/>
      <c r="AL619" s="93"/>
      <c r="AM619" s="93"/>
      <c r="AN619" s="93"/>
    </row>
    <row r="620" ht="15.75" customHeight="1">
      <c r="AJ620" s="93"/>
      <c r="AK620" s="93"/>
      <c r="AL620" s="93"/>
      <c r="AM620" s="93"/>
      <c r="AN620" s="93"/>
    </row>
    <row r="621" ht="15.75" customHeight="1">
      <c r="AJ621" s="93"/>
      <c r="AK621" s="93"/>
      <c r="AL621" s="93"/>
      <c r="AM621" s="93"/>
      <c r="AN621" s="93"/>
    </row>
    <row r="622" ht="15.75" customHeight="1">
      <c r="AJ622" s="93"/>
      <c r="AK622" s="93"/>
      <c r="AL622" s="93"/>
      <c r="AM622" s="93"/>
      <c r="AN622" s="93"/>
    </row>
    <row r="623" ht="15.75" customHeight="1">
      <c r="AJ623" s="93"/>
      <c r="AK623" s="93"/>
      <c r="AL623" s="93"/>
      <c r="AM623" s="93"/>
      <c r="AN623" s="93"/>
    </row>
    <row r="624" ht="15.75" customHeight="1">
      <c r="AJ624" s="93"/>
      <c r="AK624" s="93"/>
      <c r="AL624" s="93"/>
      <c r="AM624" s="93"/>
      <c r="AN624" s="93"/>
    </row>
    <row r="625" ht="15.75" customHeight="1">
      <c r="AJ625" s="93"/>
      <c r="AK625" s="93"/>
      <c r="AL625" s="93"/>
      <c r="AM625" s="93"/>
      <c r="AN625" s="93"/>
    </row>
    <row r="626" ht="15.75" customHeight="1">
      <c r="AJ626" s="93"/>
      <c r="AK626" s="93"/>
      <c r="AL626" s="93"/>
      <c r="AM626" s="93"/>
      <c r="AN626" s="93"/>
    </row>
    <row r="627" ht="15.75" customHeight="1">
      <c r="AJ627" s="93"/>
      <c r="AK627" s="93"/>
      <c r="AL627" s="93"/>
      <c r="AM627" s="93"/>
      <c r="AN627" s="93"/>
    </row>
    <row r="628" ht="15.75" customHeight="1">
      <c r="AJ628" s="93"/>
      <c r="AK628" s="93"/>
      <c r="AL628" s="93"/>
      <c r="AM628" s="93"/>
      <c r="AN628" s="93"/>
    </row>
    <row r="629" ht="15.75" customHeight="1">
      <c r="AJ629" s="93"/>
      <c r="AK629" s="93"/>
      <c r="AL629" s="93"/>
      <c r="AM629" s="93"/>
      <c r="AN629" s="93"/>
    </row>
    <row r="630" ht="15.75" customHeight="1">
      <c r="AJ630" s="93"/>
      <c r="AK630" s="93"/>
      <c r="AL630" s="93"/>
      <c r="AM630" s="93"/>
      <c r="AN630" s="93"/>
    </row>
    <row r="631" ht="15.75" customHeight="1">
      <c r="AJ631" s="93"/>
      <c r="AK631" s="93"/>
      <c r="AL631" s="93"/>
      <c r="AM631" s="93"/>
      <c r="AN631" s="93"/>
    </row>
    <row r="632" ht="15.75" customHeight="1">
      <c r="AJ632" s="93"/>
      <c r="AK632" s="93"/>
      <c r="AL632" s="93"/>
      <c r="AM632" s="93"/>
      <c r="AN632" s="93"/>
    </row>
    <row r="633" ht="15.75" customHeight="1">
      <c r="AJ633" s="93"/>
      <c r="AK633" s="93"/>
      <c r="AL633" s="93"/>
      <c r="AM633" s="93"/>
      <c r="AN633" s="93"/>
    </row>
    <row r="634" ht="15.75" customHeight="1">
      <c r="AJ634" s="93"/>
      <c r="AK634" s="93"/>
      <c r="AL634" s="93"/>
      <c r="AM634" s="93"/>
      <c r="AN634" s="93"/>
    </row>
    <row r="635" ht="15.75" customHeight="1">
      <c r="AJ635" s="93"/>
      <c r="AK635" s="93"/>
      <c r="AL635" s="93"/>
      <c r="AM635" s="93"/>
      <c r="AN635" s="93"/>
    </row>
    <row r="636" ht="15.75" customHeight="1">
      <c r="AJ636" s="93"/>
      <c r="AK636" s="93"/>
      <c r="AL636" s="93"/>
      <c r="AM636" s="93"/>
      <c r="AN636" s="93"/>
    </row>
    <row r="637" ht="15.75" customHeight="1">
      <c r="AJ637" s="93"/>
      <c r="AK637" s="93"/>
      <c r="AL637" s="93"/>
      <c r="AM637" s="93"/>
      <c r="AN637" s="93"/>
    </row>
    <row r="638" ht="15.75" customHeight="1">
      <c r="AJ638" s="93"/>
      <c r="AK638" s="93"/>
      <c r="AL638" s="93"/>
      <c r="AM638" s="93"/>
      <c r="AN638" s="93"/>
    </row>
    <row r="639" ht="15.75" customHeight="1">
      <c r="AJ639" s="93"/>
      <c r="AK639" s="93"/>
      <c r="AL639" s="93"/>
      <c r="AM639" s="93"/>
      <c r="AN639" s="93"/>
    </row>
    <row r="640" ht="15.75" customHeight="1">
      <c r="AJ640" s="93"/>
      <c r="AK640" s="93"/>
      <c r="AL640" s="93"/>
      <c r="AM640" s="93"/>
      <c r="AN640" s="93"/>
    </row>
    <row r="641" ht="15.75" customHeight="1">
      <c r="AJ641" s="93"/>
      <c r="AK641" s="93"/>
      <c r="AL641" s="93"/>
      <c r="AM641" s="93"/>
      <c r="AN641" s="93"/>
    </row>
    <row r="642" ht="15.75" customHeight="1">
      <c r="AJ642" s="93"/>
      <c r="AK642" s="93"/>
      <c r="AL642" s="93"/>
      <c r="AM642" s="93"/>
      <c r="AN642" s="93"/>
    </row>
    <row r="643" ht="15.75" customHeight="1">
      <c r="AJ643" s="93"/>
      <c r="AK643" s="93"/>
      <c r="AL643" s="93"/>
      <c r="AM643" s="93"/>
      <c r="AN643" s="93"/>
    </row>
    <row r="644" ht="15.75" customHeight="1">
      <c r="AJ644" s="93"/>
      <c r="AK644" s="93"/>
      <c r="AL644" s="93"/>
      <c r="AM644" s="93"/>
      <c r="AN644" s="93"/>
    </row>
    <row r="645" ht="15.75" customHeight="1">
      <c r="AJ645" s="93"/>
      <c r="AK645" s="93"/>
      <c r="AL645" s="93"/>
      <c r="AM645" s="93"/>
      <c r="AN645" s="93"/>
    </row>
    <row r="646" ht="15.75" customHeight="1">
      <c r="AJ646" s="93"/>
      <c r="AK646" s="93"/>
      <c r="AL646" s="93"/>
      <c r="AM646" s="93"/>
      <c r="AN646" s="93"/>
    </row>
    <row r="647" ht="15.75" customHeight="1">
      <c r="AJ647" s="93"/>
      <c r="AK647" s="93"/>
      <c r="AL647" s="93"/>
      <c r="AM647" s="93"/>
      <c r="AN647" s="93"/>
    </row>
    <row r="648" ht="15.75" customHeight="1">
      <c r="AJ648" s="93"/>
      <c r="AK648" s="93"/>
      <c r="AL648" s="93"/>
      <c r="AM648" s="93"/>
      <c r="AN648" s="93"/>
    </row>
    <row r="649" ht="15.75" customHeight="1">
      <c r="AJ649" s="93"/>
      <c r="AK649" s="93"/>
      <c r="AL649" s="93"/>
      <c r="AM649" s="93"/>
      <c r="AN649" s="93"/>
    </row>
    <row r="650" ht="15.75" customHeight="1">
      <c r="AJ650" s="93"/>
      <c r="AK650" s="93"/>
      <c r="AL650" s="93"/>
      <c r="AM650" s="93"/>
      <c r="AN650" s="93"/>
    </row>
    <row r="651" ht="15.75" customHeight="1">
      <c r="AJ651" s="93"/>
      <c r="AK651" s="93"/>
      <c r="AL651" s="93"/>
      <c r="AM651" s="93"/>
      <c r="AN651" s="93"/>
    </row>
    <row r="652" ht="15.75" customHeight="1">
      <c r="AJ652" s="93"/>
      <c r="AK652" s="93"/>
      <c r="AL652" s="93"/>
      <c r="AM652" s="93"/>
      <c r="AN652" s="93"/>
    </row>
    <row r="653" ht="15.75" customHeight="1">
      <c r="AJ653" s="93"/>
      <c r="AK653" s="93"/>
      <c r="AL653" s="93"/>
      <c r="AM653" s="93"/>
      <c r="AN653" s="93"/>
    </row>
    <row r="654" ht="15.75" customHeight="1">
      <c r="AJ654" s="93"/>
      <c r="AK654" s="93"/>
      <c r="AL654" s="93"/>
      <c r="AM654" s="93"/>
      <c r="AN654" s="93"/>
    </row>
    <row r="655" ht="15.75" customHeight="1">
      <c r="AJ655" s="93"/>
      <c r="AK655" s="93"/>
      <c r="AL655" s="93"/>
      <c r="AM655" s="93"/>
      <c r="AN655" s="93"/>
    </row>
    <row r="656" ht="15.75" customHeight="1">
      <c r="AJ656" s="93"/>
      <c r="AK656" s="93"/>
      <c r="AL656" s="93"/>
      <c r="AM656" s="93"/>
      <c r="AN656" s="93"/>
    </row>
    <row r="657" ht="15.75" customHeight="1">
      <c r="AJ657" s="93"/>
      <c r="AK657" s="93"/>
      <c r="AL657" s="93"/>
      <c r="AM657" s="93"/>
      <c r="AN657" s="93"/>
    </row>
    <row r="658" ht="15.75" customHeight="1">
      <c r="AJ658" s="93"/>
      <c r="AK658" s="93"/>
      <c r="AL658" s="93"/>
      <c r="AM658" s="93"/>
      <c r="AN658" s="93"/>
    </row>
    <row r="659" ht="15.75" customHeight="1">
      <c r="AJ659" s="93"/>
      <c r="AK659" s="93"/>
      <c r="AL659" s="93"/>
      <c r="AM659" s="93"/>
      <c r="AN659" s="93"/>
    </row>
    <row r="660" ht="15.75" customHeight="1">
      <c r="AJ660" s="93"/>
      <c r="AK660" s="93"/>
      <c r="AL660" s="93"/>
      <c r="AM660" s="93"/>
      <c r="AN660" s="93"/>
    </row>
    <row r="661" ht="15.75" customHeight="1">
      <c r="AJ661" s="93"/>
      <c r="AK661" s="93"/>
      <c r="AL661" s="93"/>
      <c r="AM661" s="93"/>
      <c r="AN661" s="93"/>
    </row>
    <row r="662" ht="15.75" customHeight="1">
      <c r="AJ662" s="93"/>
      <c r="AK662" s="93"/>
      <c r="AL662" s="93"/>
      <c r="AM662" s="93"/>
      <c r="AN662" s="93"/>
    </row>
    <row r="663" ht="15.75" customHeight="1">
      <c r="AJ663" s="93"/>
      <c r="AK663" s="93"/>
      <c r="AL663" s="93"/>
      <c r="AM663" s="93"/>
      <c r="AN663" s="93"/>
    </row>
    <row r="664" ht="15.75" customHeight="1">
      <c r="AJ664" s="93"/>
      <c r="AK664" s="93"/>
      <c r="AL664" s="93"/>
      <c r="AM664" s="93"/>
      <c r="AN664" s="93"/>
    </row>
    <row r="665" ht="15.75" customHeight="1">
      <c r="AJ665" s="93"/>
      <c r="AK665" s="93"/>
      <c r="AL665" s="93"/>
      <c r="AM665" s="93"/>
      <c r="AN665" s="93"/>
    </row>
    <row r="666" ht="15.75" customHeight="1">
      <c r="AJ666" s="93"/>
      <c r="AK666" s="93"/>
      <c r="AL666" s="93"/>
      <c r="AM666" s="93"/>
      <c r="AN666" s="93"/>
    </row>
    <row r="667" ht="15.75" customHeight="1">
      <c r="AJ667" s="93"/>
      <c r="AK667" s="93"/>
      <c r="AL667" s="93"/>
      <c r="AM667" s="93"/>
      <c r="AN667" s="93"/>
    </row>
    <row r="668" ht="15.75" customHeight="1">
      <c r="AJ668" s="93"/>
      <c r="AK668" s="93"/>
      <c r="AL668" s="93"/>
      <c r="AM668" s="93"/>
      <c r="AN668" s="93"/>
    </row>
    <row r="669" ht="15.75" customHeight="1">
      <c r="AJ669" s="93"/>
      <c r="AK669" s="93"/>
      <c r="AL669" s="93"/>
      <c r="AM669" s="93"/>
      <c r="AN669" s="93"/>
    </row>
    <row r="670" ht="15.75" customHeight="1">
      <c r="AJ670" s="93"/>
      <c r="AK670" s="93"/>
      <c r="AL670" s="93"/>
      <c r="AM670" s="93"/>
      <c r="AN670" s="93"/>
    </row>
    <row r="671" ht="15.75" customHeight="1">
      <c r="AJ671" s="93"/>
      <c r="AK671" s="93"/>
      <c r="AL671" s="93"/>
      <c r="AM671" s="93"/>
      <c r="AN671" s="93"/>
    </row>
    <row r="672" ht="15.75" customHeight="1">
      <c r="AJ672" s="93"/>
      <c r="AK672" s="93"/>
      <c r="AL672" s="93"/>
      <c r="AM672" s="93"/>
      <c r="AN672" s="93"/>
    </row>
    <row r="673" ht="15.75" customHeight="1">
      <c r="AJ673" s="93"/>
      <c r="AK673" s="93"/>
      <c r="AL673" s="93"/>
      <c r="AM673" s="93"/>
      <c r="AN673" s="93"/>
    </row>
    <row r="674" ht="15.75" customHeight="1">
      <c r="AJ674" s="93"/>
      <c r="AK674" s="93"/>
      <c r="AL674" s="93"/>
      <c r="AM674" s="93"/>
      <c r="AN674" s="93"/>
    </row>
    <row r="675" ht="15.75" customHeight="1">
      <c r="AJ675" s="93"/>
      <c r="AK675" s="93"/>
      <c r="AL675" s="93"/>
      <c r="AM675" s="93"/>
      <c r="AN675" s="93"/>
    </row>
    <row r="676" ht="15.75" customHeight="1">
      <c r="AJ676" s="93"/>
      <c r="AK676" s="93"/>
      <c r="AL676" s="93"/>
      <c r="AM676" s="93"/>
      <c r="AN676" s="93"/>
    </row>
    <row r="677" ht="15.75" customHeight="1">
      <c r="AJ677" s="93"/>
      <c r="AK677" s="93"/>
      <c r="AL677" s="93"/>
      <c r="AM677" s="93"/>
      <c r="AN677" s="93"/>
    </row>
    <row r="678" ht="15.75" customHeight="1">
      <c r="AJ678" s="93"/>
      <c r="AK678" s="93"/>
      <c r="AL678" s="93"/>
      <c r="AM678" s="93"/>
      <c r="AN678" s="93"/>
    </row>
    <row r="679" ht="15.75" customHeight="1">
      <c r="AJ679" s="93"/>
      <c r="AK679" s="93"/>
      <c r="AL679" s="93"/>
      <c r="AM679" s="93"/>
      <c r="AN679" s="93"/>
    </row>
    <row r="680" ht="15.75" customHeight="1">
      <c r="AJ680" s="93"/>
      <c r="AK680" s="93"/>
      <c r="AL680" s="93"/>
      <c r="AM680" s="93"/>
      <c r="AN680" s="93"/>
    </row>
    <row r="681" ht="15.75" customHeight="1">
      <c r="AJ681" s="93"/>
      <c r="AK681" s="93"/>
      <c r="AL681" s="93"/>
      <c r="AM681" s="93"/>
      <c r="AN681" s="93"/>
    </row>
    <row r="682" ht="15.75" customHeight="1">
      <c r="AJ682" s="93"/>
      <c r="AK682" s="93"/>
      <c r="AL682" s="93"/>
      <c r="AM682" s="93"/>
      <c r="AN682" s="93"/>
    </row>
    <row r="683" ht="15.75" customHeight="1">
      <c r="AJ683" s="93"/>
      <c r="AK683" s="93"/>
      <c r="AL683" s="93"/>
      <c r="AM683" s="93"/>
      <c r="AN683" s="93"/>
    </row>
    <row r="684" ht="15.75" customHeight="1">
      <c r="AJ684" s="93"/>
      <c r="AK684" s="93"/>
      <c r="AL684" s="93"/>
      <c r="AM684" s="93"/>
      <c r="AN684" s="93"/>
    </row>
    <row r="685" ht="15.75" customHeight="1">
      <c r="AJ685" s="93"/>
      <c r="AK685" s="93"/>
      <c r="AL685" s="93"/>
      <c r="AM685" s="93"/>
      <c r="AN685" s="93"/>
    </row>
    <row r="686" ht="15.75" customHeight="1">
      <c r="AJ686" s="93"/>
      <c r="AK686" s="93"/>
      <c r="AL686" s="93"/>
      <c r="AM686" s="93"/>
      <c r="AN686" s="93"/>
    </row>
    <row r="687" ht="15.75" customHeight="1">
      <c r="AJ687" s="93"/>
      <c r="AK687" s="93"/>
      <c r="AL687" s="93"/>
      <c r="AM687" s="93"/>
      <c r="AN687" s="93"/>
    </row>
    <row r="688" ht="15.75" customHeight="1">
      <c r="AJ688" s="93"/>
      <c r="AK688" s="93"/>
      <c r="AL688" s="93"/>
      <c r="AM688" s="93"/>
      <c r="AN688" s="93"/>
    </row>
    <row r="689" ht="15.75" customHeight="1">
      <c r="AJ689" s="93"/>
      <c r="AK689" s="93"/>
      <c r="AL689" s="93"/>
      <c r="AM689" s="93"/>
      <c r="AN689" s="93"/>
    </row>
    <row r="690" ht="15.75" customHeight="1">
      <c r="AJ690" s="93"/>
      <c r="AK690" s="93"/>
      <c r="AL690" s="93"/>
      <c r="AM690" s="93"/>
      <c r="AN690" s="93"/>
    </row>
    <row r="691" ht="15.75" customHeight="1">
      <c r="AJ691" s="93"/>
      <c r="AK691" s="93"/>
      <c r="AL691" s="93"/>
      <c r="AM691" s="93"/>
      <c r="AN691" s="93"/>
    </row>
    <row r="692" ht="15.75" customHeight="1">
      <c r="AJ692" s="93"/>
      <c r="AK692" s="93"/>
      <c r="AL692" s="93"/>
      <c r="AM692" s="93"/>
      <c r="AN692" s="93"/>
    </row>
    <row r="693" ht="15.75" customHeight="1">
      <c r="AJ693" s="93"/>
      <c r="AK693" s="93"/>
      <c r="AL693" s="93"/>
      <c r="AM693" s="93"/>
      <c r="AN693" s="93"/>
    </row>
    <row r="694" ht="15.75" customHeight="1">
      <c r="AJ694" s="93"/>
      <c r="AK694" s="93"/>
      <c r="AL694" s="93"/>
      <c r="AM694" s="93"/>
      <c r="AN694" s="93"/>
    </row>
    <row r="695" ht="15.75" customHeight="1">
      <c r="AJ695" s="93"/>
      <c r="AK695" s="93"/>
      <c r="AL695" s="93"/>
      <c r="AM695" s="93"/>
      <c r="AN695" s="93"/>
    </row>
    <row r="696" ht="15.75" customHeight="1">
      <c r="AJ696" s="93"/>
      <c r="AK696" s="93"/>
      <c r="AL696" s="93"/>
      <c r="AM696" s="93"/>
      <c r="AN696" s="93"/>
    </row>
    <row r="697" ht="15.75" customHeight="1">
      <c r="AJ697" s="93"/>
      <c r="AK697" s="93"/>
      <c r="AL697" s="93"/>
      <c r="AM697" s="93"/>
      <c r="AN697" s="93"/>
    </row>
    <row r="698" ht="15.75" customHeight="1">
      <c r="AJ698" s="93"/>
      <c r="AK698" s="93"/>
      <c r="AL698" s="93"/>
      <c r="AM698" s="93"/>
      <c r="AN698" s="93"/>
    </row>
    <row r="699" ht="15.75" customHeight="1">
      <c r="AJ699" s="93"/>
      <c r="AK699" s="93"/>
      <c r="AL699" s="93"/>
      <c r="AM699" s="93"/>
      <c r="AN699" s="93"/>
    </row>
    <row r="700" ht="15.75" customHeight="1">
      <c r="AJ700" s="93"/>
      <c r="AK700" s="93"/>
      <c r="AL700" s="93"/>
      <c r="AM700" s="93"/>
      <c r="AN700" s="93"/>
    </row>
    <row r="701" ht="15.75" customHeight="1">
      <c r="AJ701" s="93"/>
      <c r="AK701" s="93"/>
      <c r="AL701" s="93"/>
      <c r="AM701" s="93"/>
      <c r="AN701" s="93"/>
    </row>
    <row r="702" ht="15.75" customHeight="1">
      <c r="AJ702" s="93"/>
      <c r="AK702" s="93"/>
      <c r="AL702" s="93"/>
      <c r="AM702" s="93"/>
      <c r="AN702" s="93"/>
    </row>
    <row r="703" ht="15.75" customHeight="1">
      <c r="AJ703" s="93"/>
      <c r="AK703" s="93"/>
      <c r="AL703" s="93"/>
      <c r="AM703" s="93"/>
      <c r="AN703" s="93"/>
    </row>
    <row r="704" ht="15.75" customHeight="1">
      <c r="AJ704" s="93"/>
      <c r="AK704" s="93"/>
      <c r="AL704" s="93"/>
      <c r="AM704" s="93"/>
      <c r="AN704" s="93"/>
    </row>
    <row r="705" ht="15.75" customHeight="1">
      <c r="AJ705" s="93"/>
      <c r="AK705" s="93"/>
      <c r="AL705" s="93"/>
      <c r="AM705" s="93"/>
      <c r="AN705" s="93"/>
    </row>
    <row r="706" ht="15.75" customHeight="1">
      <c r="AJ706" s="93"/>
      <c r="AK706" s="93"/>
      <c r="AL706" s="93"/>
      <c r="AM706" s="93"/>
      <c r="AN706" s="93"/>
    </row>
    <row r="707" ht="15.75" customHeight="1">
      <c r="AJ707" s="93"/>
      <c r="AK707" s="93"/>
      <c r="AL707" s="93"/>
      <c r="AM707" s="93"/>
      <c r="AN707" s="93"/>
    </row>
    <row r="708" ht="15.75" customHeight="1">
      <c r="AJ708" s="93"/>
      <c r="AK708" s="93"/>
      <c r="AL708" s="93"/>
      <c r="AM708" s="93"/>
      <c r="AN708" s="93"/>
    </row>
    <row r="709" ht="15.75" customHeight="1">
      <c r="AJ709" s="93"/>
      <c r="AK709" s="93"/>
      <c r="AL709" s="93"/>
      <c r="AM709" s="93"/>
      <c r="AN709" s="93"/>
    </row>
    <row r="710" ht="15.75" customHeight="1">
      <c r="AJ710" s="93"/>
      <c r="AK710" s="93"/>
      <c r="AL710" s="93"/>
      <c r="AM710" s="93"/>
      <c r="AN710" s="93"/>
    </row>
    <row r="711" ht="15.75" customHeight="1">
      <c r="AJ711" s="93"/>
      <c r="AK711" s="93"/>
      <c r="AL711" s="93"/>
      <c r="AM711" s="93"/>
      <c r="AN711" s="93"/>
    </row>
    <row r="712" ht="15.75" customHeight="1">
      <c r="AJ712" s="93"/>
      <c r="AK712" s="93"/>
      <c r="AL712" s="93"/>
      <c r="AM712" s="93"/>
      <c r="AN712" s="93"/>
    </row>
    <row r="713" ht="15.75" customHeight="1">
      <c r="AJ713" s="93"/>
      <c r="AK713" s="93"/>
      <c r="AL713" s="93"/>
      <c r="AM713" s="93"/>
      <c r="AN713" s="93"/>
    </row>
    <row r="714" ht="15.75" customHeight="1">
      <c r="AJ714" s="93"/>
      <c r="AK714" s="93"/>
      <c r="AL714" s="93"/>
      <c r="AM714" s="93"/>
      <c r="AN714" s="93"/>
    </row>
    <row r="715" ht="15.75" customHeight="1">
      <c r="AJ715" s="93"/>
      <c r="AK715" s="93"/>
      <c r="AL715" s="93"/>
      <c r="AM715" s="93"/>
      <c r="AN715" s="93"/>
    </row>
    <row r="716" ht="15.75" customHeight="1">
      <c r="AJ716" s="93"/>
      <c r="AK716" s="93"/>
      <c r="AL716" s="93"/>
      <c r="AM716" s="93"/>
      <c r="AN716" s="93"/>
    </row>
    <row r="717" ht="15.75" customHeight="1">
      <c r="AJ717" s="93"/>
      <c r="AK717" s="93"/>
      <c r="AL717" s="93"/>
      <c r="AM717" s="93"/>
      <c r="AN717" s="93"/>
    </row>
    <row r="718" ht="15.75" customHeight="1">
      <c r="AJ718" s="93"/>
      <c r="AK718" s="93"/>
      <c r="AL718" s="93"/>
      <c r="AM718" s="93"/>
      <c r="AN718" s="93"/>
    </row>
    <row r="719" ht="15.75" customHeight="1">
      <c r="AJ719" s="93"/>
      <c r="AK719" s="93"/>
      <c r="AL719" s="93"/>
      <c r="AM719" s="93"/>
      <c r="AN719" s="93"/>
    </row>
    <row r="720" ht="15.75" customHeight="1">
      <c r="AJ720" s="93"/>
      <c r="AK720" s="93"/>
      <c r="AL720" s="93"/>
      <c r="AM720" s="93"/>
      <c r="AN720" s="93"/>
    </row>
    <row r="721" ht="15.75" customHeight="1">
      <c r="AJ721" s="93"/>
      <c r="AK721" s="93"/>
      <c r="AL721" s="93"/>
      <c r="AM721" s="93"/>
      <c r="AN721" s="93"/>
    </row>
    <row r="722" ht="15.75" customHeight="1">
      <c r="AJ722" s="93"/>
      <c r="AK722" s="93"/>
      <c r="AL722" s="93"/>
      <c r="AM722" s="93"/>
      <c r="AN722" s="93"/>
    </row>
    <row r="723" ht="15.75" customHeight="1">
      <c r="AJ723" s="93"/>
      <c r="AK723" s="93"/>
      <c r="AL723" s="93"/>
      <c r="AM723" s="93"/>
      <c r="AN723" s="93"/>
    </row>
    <row r="724" ht="15.75" customHeight="1">
      <c r="AJ724" s="93"/>
      <c r="AK724" s="93"/>
      <c r="AL724" s="93"/>
      <c r="AM724" s="93"/>
      <c r="AN724" s="93"/>
    </row>
    <row r="725" ht="15.75" customHeight="1">
      <c r="AJ725" s="93"/>
      <c r="AK725" s="93"/>
      <c r="AL725" s="93"/>
      <c r="AM725" s="93"/>
      <c r="AN725" s="93"/>
    </row>
    <row r="726" ht="15.75" customHeight="1">
      <c r="AJ726" s="93"/>
      <c r="AK726" s="93"/>
      <c r="AL726" s="93"/>
      <c r="AM726" s="93"/>
      <c r="AN726" s="93"/>
    </row>
    <row r="727" ht="15.75" customHeight="1">
      <c r="AJ727" s="93"/>
      <c r="AK727" s="93"/>
      <c r="AL727" s="93"/>
      <c r="AM727" s="93"/>
      <c r="AN727" s="93"/>
    </row>
    <row r="728" ht="15.75" customHeight="1">
      <c r="AJ728" s="93"/>
      <c r="AK728" s="93"/>
      <c r="AL728" s="93"/>
      <c r="AM728" s="93"/>
      <c r="AN728" s="93"/>
    </row>
    <row r="729" ht="15.75" customHeight="1">
      <c r="AJ729" s="93"/>
      <c r="AK729" s="93"/>
      <c r="AL729" s="93"/>
      <c r="AM729" s="93"/>
      <c r="AN729" s="93"/>
    </row>
    <row r="730" ht="15.75" customHeight="1">
      <c r="AJ730" s="93"/>
      <c r="AK730" s="93"/>
      <c r="AL730" s="93"/>
      <c r="AM730" s="93"/>
      <c r="AN730" s="93"/>
    </row>
    <row r="731" ht="15.75" customHeight="1">
      <c r="AJ731" s="93"/>
      <c r="AK731" s="93"/>
      <c r="AL731" s="93"/>
      <c r="AM731" s="93"/>
      <c r="AN731" s="93"/>
    </row>
    <row r="732" ht="15.75" customHeight="1">
      <c r="AJ732" s="93"/>
      <c r="AK732" s="93"/>
      <c r="AL732" s="93"/>
      <c r="AM732" s="93"/>
      <c r="AN732" s="93"/>
    </row>
    <row r="733" ht="15.75" customHeight="1">
      <c r="AJ733" s="93"/>
      <c r="AK733" s="93"/>
      <c r="AL733" s="93"/>
      <c r="AM733" s="93"/>
      <c r="AN733" s="93"/>
    </row>
    <row r="734" ht="15.75" customHeight="1">
      <c r="AJ734" s="93"/>
      <c r="AK734" s="93"/>
      <c r="AL734" s="93"/>
      <c r="AM734" s="93"/>
      <c r="AN734" s="93"/>
    </row>
    <row r="735" ht="15.75" customHeight="1">
      <c r="AJ735" s="93"/>
      <c r="AK735" s="93"/>
      <c r="AL735" s="93"/>
      <c r="AM735" s="93"/>
      <c r="AN735" s="93"/>
    </row>
    <row r="736" ht="15.75" customHeight="1">
      <c r="AJ736" s="93"/>
      <c r="AK736" s="93"/>
      <c r="AL736" s="93"/>
      <c r="AM736" s="93"/>
      <c r="AN736" s="93"/>
    </row>
    <row r="737" ht="15.75" customHeight="1">
      <c r="AJ737" s="93"/>
      <c r="AK737" s="93"/>
      <c r="AL737" s="93"/>
      <c r="AM737" s="93"/>
      <c r="AN737" s="93"/>
    </row>
    <row r="738" ht="15.75" customHeight="1">
      <c r="AJ738" s="93"/>
      <c r="AK738" s="93"/>
      <c r="AL738" s="93"/>
      <c r="AM738" s="93"/>
      <c r="AN738" s="93"/>
    </row>
    <row r="739" ht="15.75" customHeight="1">
      <c r="AJ739" s="93"/>
      <c r="AK739" s="93"/>
      <c r="AL739" s="93"/>
      <c r="AM739" s="93"/>
      <c r="AN739" s="93"/>
    </row>
    <row r="740" ht="15.75" customHeight="1">
      <c r="AJ740" s="93"/>
      <c r="AK740" s="93"/>
      <c r="AL740" s="93"/>
      <c r="AM740" s="93"/>
      <c r="AN740" s="93"/>
    </row>
    <row r="741" ht="15.75" customHeight="1">
      <c r="AJ741" s="93"/>
      <c r="AK741" s="93"/>
      <c r="AL741" s="93"/>
      <c r="AM741" s="93"/>
      <c r="AN741" s="93"/>
    </row>
    <row r="742" ht="15.75" customHeight="1">
      <c r="AJ742" s="93"/>
      <c r="AK742" s="93"/>
      <c r="AL742" s="93"/>
      <c r="AM742" s="93"/>
      <c r="AN742" s="93"/>
    </row>
    <row r="743" ht="15.75" customHeight="1">
      <c r="AJ743" s="93"/>
      <c r="AK743" s="93"/>
      <c r="AL743" s="93"/>
      <c r="AM743" s="93"/>
      <c r="AN743" s="93"/>
    </row>
    <row r="744" ht="15.75" customHeight="1">
      <c r="AJ744" s="93"/>
      <c r="AK744" s="93"/>
      <c r="AL744" s="93"/>
      <c r="AM744" s="93"/>
      <c r="AN744" s="93"/>
    </row>
    <row r="745" ht="15.75" customHeight="1">
      <c r="AJ745" s="93"/>
      <c r="AK745" s="93"/>
      <c r="AL745" s="93"/>
      <c r="AM745" s="93"/>
      <c r="AN745" s="93"/>
    </row>
    <row r="746" ht="15.75" customHeight="1">
      <c r="AJ746" s="93"/>
      <c r="AK746" s="93"/>
      <c r="AL746" s="93"/>
      <c r="AM746" s="93"/>
      <c r="AN746" s="93"/>
    </row>
    <row r="747" ht="15.75" customHeight="1">
      <c r="AJ747" s="93"/>
      <c r="AK747" s="93"/>
      <c r="AL747" s="93"/>
      <c r="AM747" s="93"/>
      <c r="AN747" s="93"/>
    </row>
    <row r="748" ht="15.75" customHeight="1">
      <c r="AJ748" s="93"/>
      <c r="AK748" s="93"/>
      <c r="AL748" s="93"/>
      <c r="AM748" s="93"/>
      <c r="AN748" s="93"/>
    </row>
    <row r="749" ht="15.75" customHeight="1">
      <c r="AJ749" s="93"/>
      <c r="AK749" s="93"/>
      <c r="AL749" s="93"/>
      <c r="AM749" s="93"/>
      <c r="AN749" s="93"/>
    </row>
    <row r="750" ht="15.75" customHeight="1">
      <c r="AJ750" s="93"/>
      <c r="AK750" s="93"/>
      <c r="AL750" s="93"/>
      <c r="AM750" s="93"/>
      <c r="AN750" s="93"/>
    </row>
    <row r="751" ht="15.75" customHeight="1">
      <c r="AJ751" s="93"/>
      <c r="AK751" s="93"/>
      <c r="AL751" s="93"/>
      <c r="AM751" s="93"/>
      <c r="AN751" s="93"/>
    </row>
    <row r="752" ht="15.75" customHeight="1">
      <c r="AJ752" s="93"/>
      <c r="AK752" s="93"/>
      <c r="AL752" s="93"/>
      <c r="AM752" s="93"/>
      <c r="AN752" s="93"/>
    </row>
    <row r="753" ht="15.75" customHeight="1">
      <c r="AJ753" s="93"/>
      <c r="AK753" s="93"/>
      <c r="AL753" s="93"/>
      <c r="AM753" s="93"/>
      <c r="AN753" s="93"/>
    </row>
    <row r="754" ht="15.75" customHeight="1">
      <c r="AJ754" s="93"/>
      <c r="AK754" s="93"/>
      <c r="AL754" s="93"/>
      <c r="AM754" s="93"/>
      <c r="AN754" s="93"/>
    </row>
    <row r="755" ht="15.75" customHeight="1">
      <c r="AJ755" s="93"/>
      <c r="AK755" s="93"/>
      <c r="AL755" s="93"/>
      <c r="AM755" s="93"/>
      <c r="AN755" s="93"/>
    </row>
    <row r="756" ht="15.75" customHeight="1">
      <c r="AJ756" s="93"/>
      <c r="AK756" s="93"/>
      <c r="AL756" s="93"/>
      <c r="AM756" s="93"/>
      <c r="AN756" s="93"/>
    </row>
    <row r="757" ht="15.75" customHeight="1">
      <c r="AJ757" s="93"/>
      <c r="AK757" s="93"/>
      <c r="AL757" s="93"/>
      <c r="AM757" s="93"/>
      <c r="AN757" s="93"/>
    </row>
    <row r="758" ht="15.75" customHeight="1">
      <c r="AJ758" s="93"/>
      <c r="AK758" s="93"/>
      <c r="AL758" s="93"/>
      <c r="AM758" s="93"/>
      <c r="AN758" s="93"/>
    </row>
    <row r="759" ht="15.75" customHeight="1">
      <c r="AJ759" s="93"/>
      <c r="AK759" s="93"/>
      <c r="AL759" s="93"/>
      <c r="AM759" s="93"/>
      <c r="AN759" s="93"/>
    </row>
    <row r="760" ht="15.75" customHeight="1">
      <c r="AJ760" s="93"/>
      <c r="AK760" s="93"/>
      <c r="AL760" s="93"/>
      <c r="AM760" s="93"/>
      <c r="AN760" s="93"/>
    </row>
    <row r="761" ht="15.75" customHeight="1">
      <c r="AJ761" s="93"/>
      <c r="AK761" s="93"/>
      <c r="AL761" s="93"/>
      <c r="AM761" s="93"/>
      <c r="AN761" s="93"/>
    </row>
    <row r="762" ht="15.75" customHeight="1">
      <c r="AJ762" s="93"/>
      <c r="AK762" s="93"/>
      <c r="AL762" s="93"/>
      <c r="AM762" s="93"/>
      <c r="AN762" s="93"/>
    </row>
    <row r="763" ht="15.75" customHeight="1">
      <c r="AJ763" s="93"/>
      <c r="AK763" s="93"/>
      <c r="AL763" s="93"/>
      <c r="AM763" s="93"/>
      <c r="AN763" s="93"/>
    </row>
    <row r="764" ht="15.75" customHeight="1">
      <c r="AJ764" s="93"/>
      <c r="AK764" s="93"/>
      <c r="AL764" s="93"/>
      <c r="AM764" s="93"/>
      <c r="AN764" s="93"/>
    </row>
    <row r="765" ht="15.75" customHeight="1">
      <c r="AJ765" s="93"/>
      <c r="AK765" s="93"/>
      <c r="AL765" s="93"/>
      <c r="AM765" s="93"/>
      <c r="AN765" s="93"/>
    </row>
    <row r="766" ht="15.75" customHeight="1">
      <c r="AJ766" s="93"/>
      <c r="AK766" s="93"/>
      <c r="AL766" s="93"/>
      <c r="AM766" s="93"/>
      <c r="AN766" s="93"/>
    </row>
    <row r="767" ht="15.75" customHeight="1">
      <c r="AJ767" s="93"/>
      <c r="AK767" s="93"/>
      <c r="AL767" s="93"/>
      <c r="AM767" s="93"/>
      <c r="AN767" s="93"/>
    </row>
    <row r="768" ht="15.75" customHeight="1">
      <c r="AJ768" s="93"/>
      <c r="AK768" s="93"/>
      <c r="AL768" s="93"/>
      <c r="AM768" s="93"/>
      <c r="AN768" s="93"/>
    </row>
    <row r="769" ht="15.75" customHeight="1">
      <c r="AJ769" s="93"/>
      <c r="AK769" s="93"/>
      <c r="AL769" s="93"/>
      <c r="AM769" s="93"/>
      <c r="AN769" s="93"/>
    </row>
    <row r="770" ht="15.75" customHeight="1">
      <c r="AJ770" s="93"/>
      <c r="AK770" s="93"/>
      <c r="AL770" s="93"/>
      <c r="AM770" s="93"/>
      <c r="AN770" s="93"/>
    </row>
    <row r="771" ht="15.75" customHeight="1">
      <c r="AJ771" s="93"/>
      <c r="AK771" s="93"/>
      <c r="AL771" s="93"/>
      <c r="AM771" s="93"/>
      <c r="AN771" s="93"/>
    </row>
    <row r="772" ht="15.75" customHeight="1">
      <c r="AJ772" s="93"/>
      <c r="AK772" s="93"/>
      <c r="AL772" s="93"/>
      <c r="AM772" s="93"/>
      <c r="AN772" s="93"/>
    </row>
    <row r="773" ht="15.75" customHeight="1">
      <c r="AJ773" s="93"/>
      <c r="AK773" s="93"/>
      <c r="AL773" s="93"/>
      <c r="AM773" s="93"/>
      <c r="AN773" s="93"/>
    </row>
    <row r="774" ht="15.75" customHeight="1">
      <c r="AJ774" s="93"/>
      <c r="AK774" s="93"/>
      <c r="AL774" s="93"/>
      <c r="AM774" s="93"/>
      <c r="AN774" s="93"/>
    </row>
    <row r="775" ht="15.75" customHeight="1">
      <c r="AJ775" s="93"/>
      <c r="AK775" s="93"/>
      <c r="AL775" s="93"/>
      <c r="AM775" s="93"/>
      <c r="AN775" s="93"/>
    </row>
    <row r="776" ht="15.75" customHeight="1">
      <c r="AJ776" s="93"/>
      <c r="AK776" s="93"/>
      <c r="AL776" s="93"/>
      <c r="AM776" s="93"/>
      <c r="AN776" s="93"/>
    </row>
    <row r="777" ht="15.75" customHeight="1">
      <c r="AJ777" s="93"/>
      <c r="AK777" s="93"/>
      <c r="AL777" s="93"/>
      <c r="AM777" s="93"/>
      <c r="AN777" s="93"/>
    </row>
    <row r="778" ht="15.75" customHeight="1">
      <c r="AJ778" s="93"/>
      <c r="AK778" s="93"/>
      <c r="AL778" s="93"/>
      <c r="AM778" s="93"/>
      <c r="AN778" s="93"/>
    </row>
    <row r="779" ht="15.75" customHeight="1">
      <c r="AJ779" s="93"/>
      <c r="AK779" s="93"/>
      <c r="AL779" s="93"/>
      <c r="AM779" s="93"/>
      <c r="AN779" s="93"/>
    </row>
    <row r="780" ht="15.75" customHeight="1">
      <c r="AJ780" s="93"/>
      <c r="AK780" s="93"/>
      <c r="AL780" s="93"/>
      <c r="AM780" s="93"/>
      <c r="AN780" s="93"/>
    </row>
    <row r="781" ht="15.75" customHeight="1">
      <c r="AJ781" s="93"/>
      <c r="AK781" s="93"/>
      <c r="AL781" s="93"/>
      <c r="AM781" s="93"/>
      <c r="AN781" s="93"/>
    </row>
    <row r="782" ht="15.75" customHeight="1">
      <c r="AJ782" s="93"/>
      <c r="AK782" s="93"/>
      <c r="AL782" s="93"/>
      <c r="AM782" s="93"/>
      <c r="AN782" s="93"/>
    </row>
    <row r="783" ht="15.75" customHeight="1">
      <c r="AJ783" s="93"/>
      <c r="AK783" s="93"/>
      <c r="AL783" s="93"/>
      <c r="AM783" s="93"/>
      <c r="AN783" s="93"/>
    </row>
    <row r="784" ht="15.75" customHeight="1">
      <c r="AJ784" s="93"/>
      <c r="AK784" s="93"/>
      <c r="AL784" s="93"/>
      <c r="AM784" s="93"/>
      <c r="AN784" s="93"/>
    </row>
    <row r="785" ht="15.75" customHeight="1">
      <c r="AJ785" s="93"/>
      <c r="AK785" s="93"/>
      <c r="AL785" s="93"/>
      <c r="AM785" s="93"/>
      <c r="AN785" s="93"/>
    </row>
    <row r="786" ht="15.75" customHeight="1">
      <c r="AJ786" s="93"/>
      <c r="AK786" s="93"/>
      <c r="AL786" s="93"/>
      <c r="AM786" s="93"/>
      <c r="AN786" s="93"/>
    </row>
    <row r="787" ht="15.75" customHeight="1">
      <c r="AJ787" s="93"/>
      <c r="AK787" s="93"/>
      <c r="AL787" s="93"/>
      <c r="AM787" s="93"/>
      <c r="AN787" s="93"/>
    </row>
    <row r="788" ht="15.75" customHeight="1">
      <c r="AJ788" s="93"/>
      <c r="AK788" s="93"/>
      <c r="AL788" s="93"/>
      <c r="AM788" s="93"/>
      <c r="AN788" s="93"/>
    </row>
    <row r="789" ht="15.75" customHeight="1">
      <c r="AJ789" s="93"/>
      <c r="AK789" s="93"/>
      <c r="AL789" s="93"/>
      <c r="AM789" s="93"/>
      <c r="AN789" s="93"/>
    </row>
    <row r="790" ht="15.75" customHeight="1">
      <c r="AJ790" s="93"/>
      <c r="AK790" s="93"/>
      <c r="AL790" s="93"/>
      <c r="AM790" s="93"/>
      <c r="AN790" s="93"/>
    </row>
    <row r="791" ht="15.75" customHeight="1">
      <c r="AJ791" s="93"/>
      <c r="AK791" s="93"/>
      <c r="AL791" s="93"/>
      <c r="AM791" s="93"/>
      <c r="AN791" s="93"/>
    </row>
    <row r="792" ht="15.75" customHeight="1">
      <c r="AJ792" s="93"/>
      <c r="AK792" s="93"/>
      <c r="AL792" s="93"/>
      <c r="AM792" s="93"/>
      <c r="AN792" s="93"/>
    </row>
    <row r="793" ht="15.75" customHeight="1">
      <c r="AJ793" s="93"/>
      <c r="AK793" s="93"/>
      <c r="AL793" s="93"/>
      <c r="AM793" s="93"/>
      <c r="AN793" s="93"/>
    </row>
    <row r="794" ht="15.75" customHeight="1">
      <c r="AJ794" s="93"/>
      <c r="AK794" s="93"/>
      <c r="AL794" s="93"/>
      <c r="AM794" s="93"/>
      <c r="AN794" s="93"/>
    </row>
    <row r="795" ht="15.75" customHeight="1">
      <c r="AJ795" s="93"/>
      <c r="AK795" s="93"/>
      <c r="AL795" s="93"/>
      <c r="AM795" s="93"/>
      <c r="AN795" s="93"/>
    </row>
    <row r="796" ht="15.75" customHeight="1">
      <c r="AJ796" s="93"/>
      <c r="AK796" s="93"/>
      <c r="AL796" s="93"/>
      <c r="AM796" s="93"/>
      <c r="AN796" s="93"/>
    </row>
    <row r="797" ht="15.75" customHeight="1">
      <c r="AJ797" s="93"/>
      <c r="AK797" s="93"/>
      <c r="AL797" s="93"/>
      <c r="AM797" s="93"/>
      <c r="AN797" s="93"/>
    </row>
    <row r="798" ht="15.75" customHeight="1">
      <c r="AJ798" s="93"/>
      <c r="AK798" s="93"/>
      <c r="AL798" s="93"/>
      <c r="AM798" s="93"/>
      <c r="AN798" s="93"/>
    </row>
    <row r="799" ht="15.75" customHeight="1">
      <c r="AJ799" s="93"/>
      <c r="AK799" s="93"/>
      <c r="AL799" s="93"/>
      <c r="AM799" s="93"/>
      <c r="AN799" s="93"/>
    </row>
    <row r="800" ht="15.75" customHeight="1">
      <c r="AJ800" s="93"/>
      <c r="AK800" s="93"/>
      <c r="AL800" s="93"/>
      <c r="AM800" s="93"/>
      <c r="AN800" s="93"/>
    </row>
    <row r="801" ht="15.75" customHeight="1">
      <c r="AJ801" s="93"/>
      <c r="AK801" s="93"/>
      <c r="AL801" s="93"/>
      <c r="AM801" s="93"/>
      <c r="AN801" s="93"/>
    </row>
    <row r="802" ht="15.75" customHeight="1">
      <c r="AJ802" s="93"/>
      <c r="AK802" s="93"/>
      <c r="AL802" s="93"/>
      <c r="AM802" s="93"/>
      <c r="AN802" s="93"/>
    </row>
    <row r="803" ht="15.75" customHeight="1">
      <c r="AJ803" s="93"/>
      <c r="AK803" s="93"/>
      <c r="AL803" s="93"/>
      <c r="AM803" s="93"/>
      <c r="AN803" s="93"/>
    </row>
    <row r="804" ht="15.75" customHeight="1">
      <c r="AJ804" s="93"/>
      <c r="AK804" s="93"/>
      <c r="AL804" s="93"/>
      <c r="AM804" s="93"/>
      <c r="AN804" s="93"/>
    </row>
    <row r="805" ht="15.75" customHeight="1">
      <c r="AJ805" s="93"/>
      <c r="AK805" s="93"/>
      <c r="AL805" s="93"/>
      <c r="AM805" s="93"/>
      <c r="AN805" s="93"/>
    </row>
    <row r="806" ht="15.75" customHeight="1">
      <c r="AJ806" s="93"/>
      <c r="AK806" s="93"/>
      <c r="AL806" s="93"/>
      <c r="AM806" s="93"/>
      <c r="AN806" s="93"/>
    </row>
    <row r="807" ht="15.75" customHeight="1">
      <c r="AJ807" s="93"/>
      <c r="AK807" s="93"/>
      <c r="AL807" s="93"/>
      <c r="AM807" s="93"/>
      <c r="AN807" s="93"/>
    </row>
    <row r="808" ht="15.75" customHeight="1">
      <c r="AJ808" s="93"/>
      <c r="AK808" s="93"/>
      <c r="AL808" s="93"/>
      <c r="AM808" s="93"/>
      <c r="AN808" s="93"/>
    </row>
    <row r="809" ht="15.75" customHeight="1">
      <c r="AJ809" s="93"/>
      <c r="AK809" s="93"/>
      <c r="AL809" s="93"/>
      <c r="AM809" s="93"/>
      <c r="AN809" s="93"/>
    </row>
    <row r="810" ht="15.75" customHeight="1">
      <c r="AJ810" s="93"/>
      <c r="AK810" s="93"/>
      <c r="AL810" s="93"/>
      <c r="AM810" s="93"/>
      <c r="AN810" s="93"/>
    </row>
    <row r="811" ht="15.75" customHeight="1">
      <c r="AJ811" s="93"/>
      <c r="AK811" s="93"/>
      <c r="AL811" s="93"/>
      <c r="AM811" s="93"/>
      <c r="AN811" s="93"/>
    </row>
    <row r="812" ht="15.75" customHeight="1">
      <c r="AJ812" s="93"/>
      <c r="AK812" s="93"/>
      <c r="AL812" s="93"/>
      <c r="AM812" s="93"/>
      <c r="AN812" s="93"/>
    </row>
    <row r="813" ht="15.75" customHeight="1">
      <c r="AJ813" s="93"/>
      <c r="AK813" s="93"/>
      <c r="AL813" s="93"/>
      <c r="AM813" s="93"/>
      <c r="AN813" s="93"/>
    </row>
    <row r="814" ht="15.75" customHeight="1">
      <c r="AJ814" s="93"/>
      <c r="AK814" s="93"/>
      <c r="AL814" s="93"/>
      <c r="AM814" s="93"/>
      <c r="AN814" s="93"/>
    </row>
    <row r="815" ht="15.75" customHeight="1">
      <c r="AJ815" s="93"/>
      <c r="AK815" s="93"/>
      <c r="AL815" s="93"/>
      <c r="AM815" s="93"/>
      <c r="AN815" s="93"/>
    </row>
    <row r="816" ht="15.75" customHeight="1">
      <c r="AJ816" s="93"/>
      <c r="AK816" s="93"/>
      <c r="AL816" s="93"/>
      <c r="AM816" s="93"/>
      <c r="AN816" s="93"/>
    </row>
    <row r="817" ht="15.75" customHeight="1">
      <c r="AJ817" s="93"/>
      <c r="AK817" s="93"/>
      <c r="AL817" s="93"/>
      <c r="AM817" s="93"/>
      <c r="AN817" s="93"/>
    </row>
    <row r="818" ht="15.75" customHeight="1">
      <c r="AJ818" s="93"/>
      <c r="AK818" s="93"/>
      <c r="AL818" s="93"/>
      <c r="AM818" s="93"/>
      <c r="AN818" s="93"/>
    </row>
    <row r="819" ht="15.75" customHeight="1">
      <c r="AJ819" s="93"/>
      <c r="AK819" s="93"/>
      <c r="AL819" s="93"/>
      <c r="AM819" s="93"/>
      <c r="AN819" s="93"/>
    </row>
    <row r="820" ht="15.75" customHeight="1">
      <c r="AJ820" s="93"/>
      <c r="AK820" s="93"/>
      <c r="AL820" s="93"/>
      <c r="AM820" s="93"/>
      <c r="AN820" s="93"/>
    </row>
    <row r="821" ht="15.75" customHeight="1">
      <c r="AJ821" s="93"/>
      <c r="AK821" s="93"/>
      <c r="AL821" s="93"/>
      <c r="AM821" s="93"/>
      <c r="AN821" s="93"/>
    </row>
    <row r="822" ht="15.75" customHeight="1">
      <c r="AJ822" s="93"/>
      <c r="AK822" s="93"/>
      <c r="AL822" s="93"/>
      <c r="AM822" s="93"/>
      <c r="AN822" s="93"/>
    </row>
    <row r="823" ht="15.75" customHeight="1">
      <c r="AJ823" s="93"/>
      <c r="AK823" s="93"/>
      <c r="AL823" s="93"/>
      <c r="AM823" s="93"/>
      <c r="AN823" s="93"/>
    </row>
    <row r="824" ht="15.75" customHeight="1">
      <c r="AJ824" s="93"/>
      <c r="AK824" s="93"/>
      <c r="AL824" s="93"/>
      <c r="AM824" s="93"/>
      <c r="AN824" s="93"/>
    </row>
    <row r="825" ht="15.75" customHeight="1">
      <c r="AJ825" s="93"/>
      <c r="AK825" s="93"/>
      <c r="AL825" s="93"/>
      <c r="AM825" s="93"/>
      <c r="AN825" s="93"/>
    </row>
    <row r="826" ht="15.75" customHeight="1">
      <c r="AJ826" s="93"/>
      <c r="AK826" s="93"/>
      <c r="AL826" s="93"/>
      <c r="AM826" s="93"/>
      <c r="AN826" s="93"/>
    </row>
    <row r="827" ht="15.75" customHeight="1">
      <c r="AJ827" s="93"/>
      <c r="AK827" s="93"/>
      <c r="AL827" s="93"/>
      <c r="AM827" s="93"/>
      <c r="AN827" s="93"/>
    </row>
    <row r="828" ht="15.75" customHeight="1">
      <c r="AJ828" s="93"/>
      <c r="AK828" s="93"/>
      <c r="AL828" s="93"/>
      <c r="AM828" s="93"/>
      <c r="AN828" s="93"/>
    </row>
    <row r="829" ht="15.75" customHeight="1">
      <c r="AJ829" s="93"/>
      <c r="AK829" s="93"/>
      <c r="AL829" s="93"/>
      <c r="AM829" s="93"/>
      <c r="AN829" s="93"/>
    </row>
    <row r="830" ht="15.75" customHeight="1">
      <c r="AJ830" s="93"/>
      <c r="AK830" s="93"/>
      <c r="AL830" s="93"/>
      <c r="AM830" s="93"/>
      <c r="AN830" s="93"/>
    </row>
    <row r="831" ht="15.75" customHeight="1">
      <c r="AJ831" s="93"/>
      <c r="AK831" s="93"/>
      <c r="AL831" s="93"/>
      <c r="AM831" s="93"/>
      <c r="AN831" s="93"/>
    </row>
    <row r="832" ht="15.75" customHeight="1">
      <c r="AJ832" s="93"/>
      <c r="AK832" s="93"/>
      <c r="AL832" s="93"/>
      <c r="AM832" s="93"/>
      <c r="AN832" s="93"/>
    </row>
    <row r="833" ht="15.75" customHeight="1">
      <c r="AJ833" s="93"/>
      <c r="AK833" s="93"/>
      <c r="AL833" s="93"/>
      <c r="AM833" s="93"/>
      <c r="AN833" s="93"/>
    </row>
    <row r="834" ht="15.75" customHeight="1">
      <c r="AJ834" s="93"/>
      <c r="AK834" s="93"/>
      <c r="AL834" s="93"/>
      <c r="AM834" s="93"/>
      <c r="AN834" s="93"/>
    </row>
    <row r="835" ht="15.75" customHeight="1">
      <c r="AJ835" s="93"/>
      <c r="AK835" s="93"/>
      <c r="AL835" s="93"/>
      <c r="AM835" s="93"/>
      <c r="AN835" s="93"/>
    </row>
    <row r="836" ht="15.75" customHeight="1">
      <c r="AJ836" s="93"/>
      <c r="AK836" s="93"/>
      <c r="AL836" s="93"/>
      <c r="AM836" s="93"/>
      <c r="AN836" s="93"/>
    </row>
    <row r="837" ht="15.75" customHeight="1">
      <c r="AJ837" s="93"/>
      <c r="AK837" s="93"/>
      <c r="AL837" s="93"/>
      <c r="AM837" s="93"/>
      <c r="AN837" s="93"/>
    </row>
    <row r="838" ht="15.75" customHeight="1">
      <c r="AJ838" s="93"/>
      <c r="AK838" s="93"/>
      <c r="AL838" s="93"/>
      <c r="AM838" s="93"/>
      <c r="AN838" s="93"/>
    </row>
    <row r="839" ht="15.75" customHeight="1">
      <c r="AJ839" s="93"/>
      <c r="AK839" s="93"/>
      <c r="AL839" s="93"/>
      <c r="AM839" s="93"/>
      <c r="AN839" s="93"/>
    </row>
    <row r="840" ht="15.75" customHeight="1">
      <c r="AJ840" s="93"/>
      <c r="AK840" s="93"/>
      <c r="AL840" s="93"/>
      <c r="AM840" s="93"/>
      <c r="AN840" s="93"/>
    </row>
    <row r="841" ht="15.75" customHeight="1">
      <c r="AJ841" s="93"/>
      <c r="AK841" s="93"/>
      <c r="AL841" s="93"/>
      <c r="AM841" s="93"/>
      <c r="AN841" s="93"/>
    </row>
    <row r="842" ht="15.75" customHeight="1">
      <c r="AJ842" s="93"/>
      <c r="AK842" s="93"/>
      <c r="AL842" s="93"/>
      <c r="AM842" s="93"/>
      <c r="AN842" s="93"/>
    </row>
    <row r="843" ht="15.75" customHeight="1">
      <c r="AJ843" s="93"/>
      <c r="AK843" s="93"/>
      <c r="AL843" s="93"/>
      <c r="AM843" s="93"/>
      <c r="AN843" s="93"/>
    </row>
    <row r="844" ht="15.75" customHeight="1">
      <c r="AJ844" s="93"/>
      <c r="AK844" s="93"/>
      <c r="AL844" s="93"/>
      <c r="AM844" s="93"/>
      <c r="AN844" s="93"/>
    </row>
    <row r="845" ht="15.75" customHeight="1">
      <c r="AJ845" s="93"/>
      <c r="AK845" s="93"/>
      <c r="AL845" s="93"/>
      <c r="AM845" s="93"/>
      <c r="AN845" s="93"/>
    </row>
    <row r="846" ht="15.75" customHeight="1">
      <c r="AJ846" s="93"/>
      <c r="AK846" s="93"/>
      <c r="AL846" s="93"/>
      <c r="AM846" s="93"/>
      <c r="AN846" s="93"/>
    </row>
    <row r="847" ht="15.75" customHeight="1">
      <c r="AJ847" s="93"/>
      <c r="AK847" s="93"/>
      <c r="AL847" s="93"/>
      <c r="AM847" s="93"/>
      <c r="AN847" s="93"/>
    </row>
    <row r="848" ht="15.75" customHeight="1">
      <c r="AJ848" s="93"/>
      <c r="AK848" s="93"/>
      <c r="AL848" s="93"/>
      <c r="AM848" s="93"/>
      <c r="AN848" s="93"/>
    </row>
    <row r="849" ht="15.75" customHeight="1">
      <c r="AJ849" s="93"/>
      <c r="AK849" s="93"/>
      <c r="AL849" s="93"/>
      <c r="AM849" s="93"/>
      <c r="AN849" s="93"/>
    </row>
    <row r="850" ht="15.75" customHeight="1">
      <c r="AJ850" s="93"/>
      <c r="AK850" s="93"/>
      <c r="AL850" s="93"/>
      <c r="AM850" s="93"/>
      <c r="AN850" s="93"/>
    </row>
    <row r="851" ht="15.75" customHeight="1">
      <c r="AJ851" s="93"/>
      <c r="AK851" s="93"/>
      <c r="AL851" s="93"/>
      <c r="AM851" s="93"/>
      <c r="AN851" s="93"/>
    </row>
    <row r="852" ht="15.75" customHeight="1">
      <c r="AJ852" s="93"/>
      <c r="AK852" s="93"/>
      <c r="AL852" s="93"/>
      <c r="AM852" s="93"/>
      <c r="AN852" s="93"/>
    </row>
    <row r="853" ht="15.75" customHeight="1">
      <c r="AJ853" s="93"/>
      <c r="AK853" s="93"/>
      <c r="AL853" s="93"/>
      <c r="AM853" s="93"/>
      <c r="AN853" s="93"/>
    </row>
    <row r="854" ht="15.75" customHeight="1">
      <c r="AJ854" s="93"/>
      <c r="AK854" s="93"/>
      <c r="AL854" s="93"/>
      <c r="AM854" s="93"/>
      <c r="AN854" s="93"/>
    </row>
    <row r="855" ht="15.75" customHeight="1">
      <c r="AJ855" s="93"/>
      <c r="AK855" s="93"/>
      <c r="AL855" s="93"/>
      <c r="AM855" s="93"/>
      <c r="AN855" s="93"/>
    </row>
    <row r="856" ht="15.75" customHeight="1">
      <c r="AJ856" s="93"/>
      <c r="AK856" s="93"/>
      <c r="AL856" s="93"/>
      <c r="AM856" s="93"/>
      <c r="AN856" s="93"/>
    </row>
    <row r="857" ht="15.75" customHeight="1">
      <c r="AJ857" s="93"/>
      <c r="AK857" s="93"/>
      <c r="AL857" s="93"/>
      <c r="AM857" s="93"/>
      <c r="AN857" s="93"/>
    </row>
    <row r="858" ht="15.75" customHeight="1">
      <c r="AJ858" s="93"/>
      <c r="AK858" s="93"/>
      <c r="AL858" s="93"/>
      <c r="AM858" s="93"/>
      <c r="AN858" s="93"/>
    </row>
    <row r="859" ht="15.75" customHeight="1">
      <c r="AJ859" s="93"/>
      <c r="AK859" s="93"/>
      <c r="AL859" s="93"/>
      <c r="AM859" s="93"/>
      <c r="AN859" s="93"/>
    </row>
    <row r="860" ht="15.75" customHeight="1">
      <c r="AJ860" s="93"/>
      <c r="AK860" s="93"/>
      <c r="AL860" s="93"/>
      <c r="AM860" s="93"/>
      <c r="AN860" s="93"/>
    </row>
    <row r="861" ht="15.75" customHeight="1">
      <c r="AJ861" s="93"/>
      <c r="AK861" s="93"/>
      <c r="AL861" s="93"/>
      <c r="AM861" s="93"/>
      <c r="AN861" s="93"/>
    </row>
    <row r="862" ht="15.75" customHeight="1">
      <c r="AJ862" s="93"/>
      <c r="AK862" s="93"/>
      <c r="AL862" s="93"/>
      <c r="AM862" s="93"/>
      <c r="AN862" s="93"/>
    </row>
    <row r="863" ht="15.75" customHeight="1">
      <c r="AJ863" s="93"/>
      <c r="AK863" s="93"/>
      <c r="AL863" s="93"/>
      <c r="AM863" s="93"/>
      <c r="AN863" s="93"/>
    </row>
    <row r="864" ht="15.75" customHeight="1">
      <c r="AJ864" s="93"/>
      <c r="AK864" s="93"/>
      <c r="AL864" s="93"/>
      <c r="AM864" s="93"/>
      <c r="AN864" s="93"/>
    </row>
    <row r="865" ht="15.75" customHeight="1">
      <c r="AJ865" s="93"/>
      <c r="AK865" s="93"/>
      <c r="AL865" s="93"/>
      <c r="AM865" s="93"/>
      <c r="AN865" s="93"/>
    </row>
    <row r="866" ht="15.75" customHeight="1">
      <c r="AJ866" s="93"/>
      <c r="AK866" s="93"/>
      <c r="AL866" s="93"/>
      <c r="AM866" s="93"/>
      <c r="AN866" s="93"/>
    </row>
    <row r="867" ht="15.75" customHeight="1">
      <c r="AJ867" s="93"/>
      <c r="AK867" s="93"/>
      <c r="AL867" s="93"/>
      <c r="AM867" s="93"/>
      <c r="AN867" s="93"/>
    </row>
    <row r="868" ht="15.75" customHeight="1">
      <c r="AJ868" s="93"/>
      <c r="AK868" s="93"/>
      <c r="AL868" s="93"/>
      <c r="AM868" s="93"/>
      <c r="AN868" s="93"/>
    </row>
    <row r="869" ht="15.75" customHeight="1">
      <c r="AJ869" s="93"/>
      <c r="AK869" s="93"/>
      <c r="AL869" s="93"/>
      <c r="AM869" s="93"/>
      <c r="AN869" s="93"/>
    </row>
    <row r="870" ht="15.75" customHeight="1">
      <c r="AJ870" s="93"/>
      <c r="AK870" s="93"/>
      <c r="AL870" s="93"/>
      <c r="AM870" s="93"/>
      <c r="AN870" s="93"/>
    </row>
    <row r="871" ht="15.75" customHeight="1">
      <c r="AJ871" s="93"/>
      <c r="AK871" s="93"/>
      <c r="AL871" s="93"/>
      <c r="AM871" s="93"/>
      <c r="AN871" s="93"/>
    </row>
    <row r="872" ht="15.75" customHeight="1">
      <c r="AJ872" s="93"/>
      <c r="AK872" s="93"/>
      <c r="AL872" s="93"/>
      <c r="AM872" s="93"/>
      <c r="AN872" s="93"/>
    </row>
    <row r="873" ht="15.75" customHeight="1">
      <c r="AJ873" s="93"/>
      <c r="AK873" s="93"/>
      <c r="AL873" s="93"/>
      <c r="AM873" s="93"/>
      <c r="AN873" s="93"/>
    </row>
    <row r="874" ht="15.75" customHeight="1">
      <c r="AJ874" s="93"/>
      <c r="AK874" s="93"/>
      <c r="AL874" s="93"/>
      <c r="AM874" s="93"/>
      <c r="AN874" s="93"/>
    </row>
    <row r="875" ht="15.75" customHeight="1">
      <c r="AJ875" s="93"/>
      <c r="AK875" s="93"/>
      <c r="AL875" s="93"/>
      <c r="AM875" s="93"/>
      <c r="AN875" s="93"/>
    </row>
    <row r="876" ht="15.75" customHeight="1">
      <c r="AJ876" s="93"/>
      <c r="AK876" s="93"/>
      <c r="AL876" s="93"/>
      <c r="AM876" s="93"/>
      <c r="AN876" s="93"/>
    </row>
    <row r="877" ht="15.75" customHeight="1">
      <c r="AJ877" s="93"/>
      <c r="AK877" s="93"/>
      <c r="AL877" s="93"/>
      <c r="AM877" s="93"/>
      <c r="AN877" s="93"/>
    </row>
    <row r="878" ht="15.75" customHeight="1">
      <c r="AJ878" s="93"/>
      <c r="AK878" s="93"/>
      <c r="AL878" s="93"/>
      <c r="AM878" s="93"/>
      <c r="AN878" s="93"/>
    </row>
    <row r="879" ht="15.75" customHeight="1">
      <c r="AJ879" s="93"/>
      <c r="AK879" s="93"/>
      <c r="AL879" s="93"/>
      <c r="AM879" s="93"/>
      <c r="AN879" s="93"/>
    </row>
    <row r="880" ht="15.75" customHeight="1">
      <c r="AJ880" s="93"/>
      <c r="AK880" s="93"/>
      <c r="AL880" s="93"/>
      <c r="AM880" s="93"/>
      <c r="AN880" s="93"/>
    </row>
    <row r="881" ht="15.75" customHeight="1">
      <c r="AJ881" s="93"/>
      <c r="AK881" s="93"/>
      <c r="AL881" s="93"/>
      <c r="AM881" s="93"/>
      <c r="AN881" s="93"/>
    </row>
    <row r="882" ht="15.75" customHeight="1">
      <c r="AJ882" s="93"/>
      <c r="AK882" s="93"/>
      <c r="AL882" s="93"/>
      <c r="AM882" s="93"/>
      <c r="AN882" s="93"/>
    </row>
    <row r="883" ht="15.75" customHeight="1">
      <c r="AJ883" s="93"/>
      <c r="AK883" s="93"/>
      <c r="AL883" s="93"/>
      <c r="AM883" s="93"/>
      <c r="AN883" s="93"/>
    </row>
    <row r="884" ht="15.75" customHeight="1">
      <c r="AJ884" s="93"/>
      <c r="AK884" s="93"/>
      <c r="AL884" s="93"/>
      <c r="AM884" s="93"/>
      <c r="AN884" s="93"/>
    </row>
    <row r="885" ht="15.75" customHeight="1">
      <c r="AJ885" s="93"/>
      <c r="AK885" s="93"/>
      <c r="AL885" s="93"/>
      <c r="AM885" s="93"/>
      <c r="AN885" s="93"/>
    </row>
    <row r="886" ht="15.75" customHeight="1">
      <c r="AJ886" s="93"/>
      <c r="AK886" s="93"/>
      <c r="AL886" s="93"/>
      <c r="AM886" s="93"/>
      <c r="AN886" s="93"/>
    </row>
    <row r="887" ht="15.75" customHeight="1">
      <c r="AJ887" s="93"/>
      <c r="AK887" s="93"/>
      <c r="AL887" s="93"/>
      <c r="AM887" s="93"/>
      <c r="AN887" s="93"/>
    </row>
    <row r="888" ht="15.75" customHeight="1">
      <c r="AJ888" s="93"/>
      <c r="AK888" s="93"/>
      <c r="AL888" s="93"/>
      <c r="AM888" s="93"/>
      <c r="AN888" s="93"/>
    </row>
    <row r="889" ht="15.75" customHeight="1">
      <c r="AJ889" s="93"/>
      <c r="AK889" s="93"/>
      <c r="AL889" s="93"/>
      <c r="AM889" s="93"/>
      <c r="AN889" s="93"/>
    </row>
    <row r="890" ht="15.75" customHeight="1">
      <c r="AJ890" s="93"/>
      <c r="AK890" s="93"/>
      <c r="AL890" s="93"/>
      <c r="AM890" s="93"/>
      <c r="AN890" s="93"/>
    </row>
    <row r="891" ht="15.75" customHeight="1">
      <c r="AJ891" s="93"/>
      <c r="AK891" s="93"/>
      <c r="AL891" s="93"/>
      <c r="AM891" s="93"/>
      <c r="AN891" s="93"/>
    </row>
    <row r="892" ht="15.75" customHeight="1">
      <c r="AJ892" s="93"/>
      <c r="AK892" s="93"/>
      <c r="AL892" s="93"/>
      <c r="AM892" s="93"/>
      <c r="AN892" s="93"/>
    </row>
    <row r="893" ht="15.75" customHeight="1">
      <c r="AJ893" s="93"/>
      <c r="AK893" s="93"/>
      <c r="AL893" s="93"/>
      <c r="AM893" s="93"/>
      <c r="AN893" s="93"/>
    </row>
    <row r="894" ht="15.75" customHeight="1">
      <c r="AJ894" s="93"/>
      <c r="AK894" s="93"/>
      <c r="AL894" s="93"/>
      <c r="AM894" s="93"/>
      <c r="AN894" s="93"/>
    </row>
    <row r="895" ht="15.75" customHeight="1">
      <c r="AJ895" s="93"/>
      <c r="AK895" s="93"/>
      <c r="AL895" s="93"/>
      <c r="AM895" s="93"/>
      <c r="AN895" s="93"/>
    </row>
    <row r="896" ht="15.75" customHeight="1">
      <c r="AJ896" s="93"/>
      <c r="AK896" s="93"/>
      <c r="AL896" s="93"/>
      <c r="AM896" s="93"/>
      <c r="AN896" s="93"/>
    </row>
    <row r="897" ht="15.75" customHeight="1">
      <c r="AJ897" s="93"/>
      <c r="AK897" s="93"/>
      <c r="AL897" s="93"/>
      <c r="AM897" s="93"/>
      <c r="AN897" s="93"/>
    </row>
    <row r="898" ht="15.75" customHeight="1">
      <c r="AJ898" s="93"/>
      <c r="AK898" s="93"/>
      <c r="AL898" s="93"/>
      <c r="AM898" s="93"/>
      <c r="AN898" s="93"/>
    </row>
    <row r="899" ht="15.75" customHeight="1">
      <c r="AJ899" s="93"/>
      <c r="AK899" s="93"/>
      <c r="AL899" s="93"/>
      <c r="AM899" s="93"/>
      <c r="AN899" s="93"/>
    </row>
    <row r="900" ht="15.75" customHeight="1">
      <c r="AJ900" s="93"/>
      <c r="AK900" s="93"/>
      <c r="AL900" s="93"/>
      <c r="AM900" s="93"/>
      <c r="AN900" s="93"/>
    </row>
    <row r="901" ht="15.75" customHeight="1">
      <c r="AJ901" s="93"/>
      <c r="AK901" s="93"/>
      <c r="AL901" s="93"/>
      <c r="AM901" s="93"/>
      <c r="AN901" s="93"/>
    </row>
    <row r="902" ht="15.75" customHeight="1">
      <c r="AJ902" s="93"/>
      <c r="AK902" s="93"/>
      <c r="AL902" s="93"/>
      <c r="AM902" s="93"/>
      <c r="AN902" s="93"/>
    </row>
    <row r="903" ht="15.75" customHeight="1">
      <c r="AJ903" s="93"/>
      <c r="AK903" s="93"/>
      <c r="AL903" s="93"/>
      <c r="AM903" s="93"/>
      <c r="AN903" s="93"/>
    </row>
    <row r="904" ht="15.75" customHeight="1">
      <c r="AJ904" s="93"/>
      <c r="AK904" s="93"/>
      <c r="AL904" s="93"/>
      <c r="AM904" s="93"/>
      <c r="AN904" s="93"/>
    </row>
    <row r="905" ht="15.75" customHeight="1">
      <c r="AJ905" s="93"/>
      <c r="AK905" s="93"/>
      <c r="AL905" s="93"/>
      <c r="AM905" s="93"/>
      <c r="AN905" s="93"/>
    </row>
    <row r="906" ht="15.75" customHeight="1">
      <c r="AJ906" s="93"/>
      <c r="AK906" s="93"/>
      <c r="AL906" s="93"/>
      <c r="AM906" s="93"/>
      <c r="AN906" s="93"/>
    </row>
    <row r="907" ht="15.75" customHeight="1">
      <c r="AJ907" s="93"/>
      <c r="AK907" s="93"/>
      <c r="AL907" s="93"/>
      <c r="AM907" s="93"/>
      <c r="AN907" s="93"/>
    </row>
    <row r="908" ht="15.75" customHeight="1">
      <c r="AJ908" s="93"/>
      <c r="AK908" s="93"/>
      <c r="AL908" s="93"/>
      <c r="AM908" s="93"/>
      <c r="AN908" s="93"/>
    </row>
    <row r="909" ht="15.75" customHeight="1">
      <c r="AJ909" s="93"/>
      <c r="AK909" s="93"/>
      <c r="AL909" s="93"/>
      <c r="AM909" s="93"/>
      <c r="AN909" s="93"/>
    </row>
    <row r="910" ht="15.75" customHeight="1">
      <c r="AJ910" s="93"/>
      <c r="AK910" s="93"/>
      <c r="AL910" s="93"/>
      <c r="AM910" s="93"/>
      <c r="AN910" s="93"/>
    </row>
    <row r="911" ht="15.75" customHeight="1">
      <c r="AJ911" s="93"/>
      <c r="AK911" s="93"/>
      <c r="AL911" s="93"/>
      <c r="AM911" s="93"/>
      <c r="AN911" s="93"/>
    </row>
    <row r="912" ht="15.75" customHeight="1">
      <c r="AJ912" s="93"/>
      <c r="AK912" s="93"/>
      <c r="AL912" s="93"/>
      <c r="AM912" s="93"/>
      <c r="AN912" s="93"/>
    </row>
    <row r="913" ht="15.75" customHeight="1">
      <c r="AJ913" s="93"/>
      <c r="AK913" s="93"/>
      <c r="AL913" s="93"/>
      <c r="AM913" s="93"/>
      <c r="AN913" s="93"/>
    </row>
    <row r="914" ht="15.75" customHeight="1">
      <c r="AJ914" s="93"/>
      <c r="AK914" s="93"/>
      <c r="AL914" s="93"/>
      <c r="AM914" s="93"/>
      <c r="AN914" s="93"/>
    </row>
    <row r="915" ht="15.75" customHeight="1">
      <c r="AJ915" s="93"/>
      <c r="AK915" s="93"/>
      <c r="AL915" s="93"/>
      <c r="AM915" s="93"/>
      <c r="AN915" s="93"/>
    </row>
    <row r="916" ht="15.75" customHeight="1">
      <c r="AJ916" s="93"/>
      <c r="AK916" s="93"/>
      <c r="AL916" s="93"/>
      <c r="AM916" s="93"/>
      <c r="AN916" s="93"/>
    </row>
    <row r="917" ht="15.75" customHeight="1">
      <c r="AJ917" s="93"/>
      <c r="AK917" s="93"/>
      <c r="AL917" s="93"/>
      <c r="AM917" s="93"/>
      <c r="AN917" s="93"/>
    </row>
    <row r="918" ht="15.75" customHeight="1">
      <c r="AJ918" s="93"/>
      <c r="AK918" s="93"/>
      <c r="AL918" s="93"/>
      <c r="AM918" s="93"/>
      <c r="AN918" s="93"/>
    </row>
    <row r="919" ht="15.75" customHeight="1">
      <c r="AJ919" s="93"/>
      <c r="AK919" s="93"/>
      <c r="AL919" s="93"/>
      <c r="AM919" s="93"/>
      <c r="AN919" s="93"/>
    </row>
    <row r="920" ht="15.75" customHeight="1">
      <c r="AJ920" s="93"/>
      <c r="AK920" s="93"/>
      <c r="AL920" s="93"/>
      <c r="AM920" s="93"/>
      <c r="AN920" s="93"/>
    </row>
    <row r="921" ht="15.75" customHeight="1">
      <c r="AJ921" s="93"/>
      <c r="AK921" s="93"/>
      <c r="AL921" s="93"/>
      <c r="AM921" s="93"/>
      <c r="AN921" s="93"/>
    </row>
    <row r="922" ht="15.75" customHeight="1">
      <c r="AJ922" s="93"/>
      <c r="AK922" s="93"/>
      <c r="AL922" s="93"/>
      <c r="AM922" s="93"/>
      <c r="AN922" s="93"/>
    </row>
    <row r="923" ht="15.75" customHeight="1">
      <c r="AJ923" s="93"/>
      <c r="AK923" s="93"/>
      <c r="AL923" s="93"/>
      <c r="AM923" s="93"/>
      <c r="AN923" s="93"/>
    </row>
    <row r="924" ht="15.75" customHeight="1">
      <c r="AJ924" s="93"/>
      <c r="AK924" s="93"/>
      <c r="AL924" s="93"/>
      <c r="AM924" s="93"/>
      <c r="AN924" s="93"/>
    </row>
    <row r="925" ht="15.75" customHeight="1">
      <c r="AJ925" s="93"/>
      <c r="AK925" s="93"/>
      <c r="AL925" s="93"/>
      <c r="AM925" s="93"/>
      <c r="AN925" s="93"/>
    </row>
    <row r="926" ht="15.75" customHeight="1">
      <c r="AJ926" s="93"/>
      <c r="AK926" s="93"/>
      <c r="AL926" s="93"/>
      <c r="AM926" s="93"/>
      <c r="AN926" s="93"/>
    </row>
    <row r="927" ht="15.75" customHeight="1">
      <c r="AJ927" s="93"/>
      <c r="AK927" s="93"/>
      <c r="AL927" s="93"/>
      <c r="AM927" s="93"/>
      <c r="AN927" s="93"/>
    </row>
    <row r="928" ht="15.75" customHeight="1">
      <c r="AJ928" s="93"/>
      <c r="AK928" s="93"/>
      <c r="AL928" s="93"/>
      <c r="AM928" s="93"/>
      <c r="AN928" s="93"/>
    </row>
    <row r="929" ht="15.75" customHeight="1">
      <c r="AJ929" s="93"/>
      <c r="AK929" s="93"/>
      <c r="AL929" s="93"/>
      <c r="AM929" s="93"/>
      <c r="AN929" s="93"/>
    </row>
    <row r="930" ht="15.75" customHeight="1">
      <c r="AJ930" s="93"/>
      <c r="AK930" s="93"/>
      <c r="AL930" s="93"/>
      <c r="AM930" s="93"/>
      <c r="AN930" s="93"/>
    </row>
    <row r="931" ht="15.75" customHeight="1">
      <c r="AJ931" s="93"/>
      <c r="AK931" s="93"/>
      <c r="AL931" s="93"/>
      <c r="AM931" s="93"/>
      <c r="AN931" s="93"/>
    </row>
    <row r="932" ht="15.75" customHeight="1">
      <c r="AJ932" s="93"/>
      <c r="AK932" s="93"/>
      <c r="AL932" s="93"/>
      <c r="AM932" s="93"/>
      <c r="AN932" s="93"/>
    </row>
    <row r="933" ht="15.75" customHeight="1">
      <c r="AJ933" s="93"/>
      <c r="AK933" s="93"/>
      <c r="AL933" s="93"/>
      <c r="AM933" s="93"/>
      <c r="AN933" s="93"/>
    </row>
    <row r="934" ht="15.75" customHeight="1">
      <c r="AJ934" s="93"/>
      <c r="AK934" s="93"/>
      <c r="AL934" s="93"/>
      <c r="AM934" s="93"/>
      <c r="AN934" s="93"/>
    </row>
    <row r="935" ht="15.75" customHeight="1">
      <c r="AJ935" s="93"/>
      <c r="AK935" s="93"/>
      <c r="AL935" s="93"/>
      <c r="AM935" s="93"/>
      <c r="AN935" s="93"/>
    </row>
    <row r="936" ht="15.75" customHeight="1">
      <c r="AJ936" s="93"/>
      <c r="AK936" s="93"/>
      <c r="AL936" s="93"/>
      <c r="AM936" s="93"/>
      <c r="AN936" s="93"/>
    </row>
    <row r="937" ht="15.75" customHeight="1">
      <c r="AJ937" s="93"/>
      <c r="AK937" s="93"/>
      <c r="AL937" s="93"/>
      <c r="AM937" s="93"/>
      <c r="AN937" s="93"/>
    </row>
    <row r="938" ht="15.75" customHeight="1">
      <c r="AJ938" s="93"/>
      <c r="AK938" s="93"/>
      <c r="AL938" s="93"/>
      <c r="AM938" s="93"/>
      <c r="AN938" s="93"/>
    </row>
    <row r="939" ht="15.75" customHeight="1">
      <c r="AJ939" s="93"/>
      <c r="AK939" s="93"/>
      <c r="AL939" s="93"/>
      <c r="AM939" s="93"/>
      <c r="AN939" s="93"/>
    </row>
    <row r="940" ht="15.75" customHeight="1">
      <c r="AJ940" s="93"/>
      <c r="AK940" s="93"/>
      <c r="AL940" s="93"/>
      <c r="AM940" s="93"/>
      <c r="AN940" s="93"/>
    </row>
    <row r="941" ht="15.75" customHeight="1">
      <c r="AJ941" s="93"/>
      <c r="AK941" s="93"/>
      <c r="AL941" s="93"/>
      <c r="AM941" s="93"/>
      <c r="AN941" s="93"/>
    </row>
    <row r="942" ht="15.75" customHeight="1">
      <c r="AJ942" s="93"/>
      <c r="AK942" s="93"/>
      <c r="AL942" s="93"/>
      <c r="AM942" s="93"/>
      <c r="AN942" s="93"/>
    </row>
    <row r="943" ht="15.75" customHeight="1">
      <c r="AJ943" s="93"/>
      <c r="AK943" s="93"/>
      <c r="AL943" s="93"/>
      <c r="AM943" s="93"/>
      <c r="AN943" s="93"/>
    </row>
    <row r="944" ht="15.75" customHeight="1">
      <c r="AJ944" s="93"/>
      <c r="AK944" s="93"/>
      <c r="AL944" s="93"/>
      <c r="AM944" s="93"/>
      <c r="AN944" s="93"/>
    </row>
    <row r="945" ht="15.75" customHeight="1">
      <c r="AJ945" s="93"/>
      <c r="AK945" s="93"/>
      <c r="AL945" s="93"/>
      <c r="AM945" s="93"/>
      <c r="AN945" s="93"/>
    </row>
    <row r="946" ht="15.75" customHeight="1">
      <c r="AJ946" s="93"/>
      <c r="AK946" s="93"/>
      <c r="AL946" s="93"/>
      <c r="AM946" s="93"/>
      <c r="AN946" s="93"/>
    </row>
    <row r="947" ht="15.75" customHeight="1">
      <c r="AJ947" s="93"/>
      <c r="AK947" s="93"/>
      <c r="AL947" s="93"/>
      <c r="AM947" s="93"/>
      <c r="AN947" s="93"/>
    </row>
    <row r="948" ht="15.75" customHeight="1">
      <c r="AJ948" s="93"/>
      <c r="AK948" s="93"/>
      <c r="AL948" s="93"/>
      <c r="AM948" s="93"/>
      <c r="AN948" s="93"/>
    </row>
    <row r="949" ht="15.75" customHeight="1">
      <c r="AJ949" s="93"/>
      <c r="AK949" s="93"/>
      <c r="AL949" s="93"/>
      <c r="AM949" s="93"/>
      <c r="AN949" s="93"/>
    </row>
    <row r="950" ht="15.75" customHeight="1">
      <c r="AJ950" s="93"/>
      <c r="AK950" s="93"/>
      <c r="AL950" s="93"/>
      <c r="AM950" s="93"/>
      <c r="AN950" s="93"/>
    </row>
    <row r="951" ht="15.75" customHeight="1">
      <c r="AJ951" s="93"/>
      <c r="AK951" s="93"/>
      <c r="AL951" s="93"/>
      <c r="AM951" s="93"/>
      <c r="AN951" s="93"/>
    </row>
    <row r="952" ht="15.75" customHeight="1">
      <c r="AJ952" s="93"/>
      <c r="AK952" s="93"/>
      <c r="AL952" s="93"/>
      <c r="AM952" s="93"/>
      <c r="AN952" s="93"/>
    </row>
    <row r="953" ht="15.75" customHeight="1">
      <c r="AJ953" s="93"/>
      <c r="AK953" s="93"/>
      <c r="AL953" s="93"/>
      <c r="AM953" s="93"/>
      <c r="AN953" s="93"/>
    </row>
    <row r="954" ht="15.75" customHeight="1">
      <c r="AJ954" s="93"/>
      <c r="AK954" s="93"/>
      <c r="AL954" s="93"/>
      <c r="AM954" s="93"/>
      <c r="AN954" s="93"/>
    </row>
    <row r="955" ht="15.75" customHeight="1">
      <c r="AJ955" s="93"/>
      <c r="AK955" s="93"/>
      <c r="AL955" s="93"/>
      <c r="AM955" s="93"/>
      <c r="AN955" s="93"/>
    </row>
    <row r="956" ht="15.75" customHeight="1">
      <c r="AJ956" s="93"/>
      <c r="AK956" s="93"/>
      <c r="AL956" s="93"/>
      <c r="AM956" s="93"/>
      <c r="AN956" s="93"/>
    </row>
    <row r="957" ht="15.75" customHeight="1">
      <c r="AJ957" s="93"/>
      <c r="AK957" s="93"/>
      <c r="AL957" s="93"/>
      <c r="AM957" s="93"/>
      <c r="AN957" s="93"/>
    </row>
    <row r="958" ht="15.75" customHeight="1">
      <c r="AJ958" s="93"/>
      <c r="AK958" s="93"/>
      <c r="AL958" s="93"/>
      <c r="AM958" s="93"/>
      <c r="AN958" s="93"/>
    </row>
    <row r="959" ht="15.75" customHeight="1">
      <c r="AJ959" s="93"/>
      <c r="AK959" s="93"/>
      <c r="AL959" s="93"/>
      <c r="AM959" s="93"/>
      <c r="AN959" s="93"/>
    </row>
    <row r="960" ht="15.75" customHeight="1">
      <c r="AJ960" s="93"/>
      <c r="AK960" s="93"/>
      <c r="AL960" s="93"/>
      <c r="AM960" s="93"/>
      <c r="AN960" s="93"/>
    </row>
    <row r="961" ht="15.75" customHeight="1">
      <c r="AJ961" s="93"/>
      <c r="AK961" s="93"/>
      <c r="AL961" s="93"/>
      <c r="AM961" s="93"/>
      <c r="AN961" s="93"/>
    </row>
    <row r="962" ht="15.75" customHeight="1">
      <c r="AJ962" s="93"/>
      <c r="AK962" s="93"/>
      <c r="AL962" s="93"/>
      <c r="AM962" s="93"/>
      <c r="AN962" s="93"/>
    </row>
    <row r="963" ht="15.75" customHeight="1">
      <c r="AJ963" s="93"/>
      <c r="AK963" s="93"/>
      <c r="AL963" s="93"/>
      <c r="AM963" s="93"/>
      <c r="AN963" s="93"/>
    </row>
    <row r="964" ht="15.75" customHeight="1">
      <c r="AJ964" s="93"/>
      <c r="AK964" s="93"/>
      <c r="AL964" s="93"/>
      <c r="AM964" s="93"/>
      <c r="AN964" s="93"/>
    </row>
    <row r="965" ht="15.75" customHeight="1">
      <c r="AJ965" s="93"/>
      <c r="AK965" s="93"/>
      <c r="AL965" s="93"/>
      <c r="AM965" s="93"/>
      <c r="AN965" s="93"/>
    </row>
    <row r="966" ht="15.75" customHeight="1">
      <c r="AJ966" s="93"/>
      <c r="AK966" s="93"/>
      <c r="AL966" s="93"/>
      <c r="AM966" s="93"/>
      <c r="AN966" s="93"/>
    </row>
    <row r="967" ht="15.75" customHeight="1">
      <c r="AJ967" s="93"/>
      <c r="AK967" s="93"/>
      <c r="AL967" s="93"/>
      <c r="AM967" s="93"/>
      <c r="AN967" s="93"/>
    </row>
    <row r="968" ht="15.75" customHeight="1">
      <c r="AJ968" s="93"/>
      <c r="AK968" s="93"/>
      <c r="AL968" s="93"/>
      <c r="AM968" s="93"/>
      <c r="AN968" s="93"/>
    </row>
    <row r="969" ht="15.75" customHeight="1">
      <c r="AJ969" s="93"/>
      <c r="AK969" s="93"/>
      <c r="AL969" s="93"/>
      <c r="AM969" s="93"/>
      <c r="AN969" s="93"/>
    </row>
    <row r="970" ht="15.75" customHeight="1">
      <c r="AJ970" s="93"/>
      <c r="AK970" s="93"/>
      <c r="AL970" s="93"/>
      <c r="AM970" s="93"/>
      <c r="AN970" s="93"/>
    </row>
    <row r="971" ht="15.75" customHeight="1">
      <c r="AJ971" s="93"/>
      <c r="AK971" s="93"/>
      <c r="AL971" s="93"/>
      <c r="AM971" s="93"/>
      <c r="AN971" s="93"/>
    </row>
    <row r="972" ht="15.75" customHeight="1">
      <c r="AJ972" s="93"/>
      <c r="AK972" s="93"/>
      <c r="AL972" s="93"/>
      <c r="AM972" s="93"/>
      <c r="AN972" s="93"/>
    </row>
    <row r="973" ht="15.75" customHeight="1">
      <c r="AJ973" s="93"/>
      <c r="AK973" s="93"/>
      <c r="AL973" s="93"/>
      <c r="AM973" s="93"/>
      <c r="AN973" s="93"/>
    </row>
    <row r="974" ht="15.75" customHeight="1">
      <c r="AJ974" s="93"/>
      <c r="AK974" s="93"/>
      <c r="AL974" s="93"/>
      <c r="AM974" s="93"/>
      <c r="AN974" s="93"/>
    </row>
    <row r="975" ht="15.75" customHeight="1">
      <c r="AJ975" s="93"/>
      <c r="AK975" s="93"/>
      <c r="AL975" s="93"/>
      <c r="AM975" s="93"/>
      <c r="AN975" s="93"/>
    </row>
    <row r="976" ht="15.75" customHeight="1">
      <c r="AJ976" s="93"/>
      <c r="AK976" s="93"/>
      <c r="AL976" s="93"/>
      <c r="AM976" s="93"/>
      <c r="AN976" s="93"/>
    </row>
    <row r="977" ht="15.75" customHeight="1">
      <c r="AJ977" s="93"/>
      <c r="AK977" s="93"/>
      <c r="AL977" s="93"/>
      <c r="AM977" s="93"/>
      <c r="AN977" s="93"/>
    </row>
    <row r="978" ht="15.75" customHeight="1">
      <c r="AJ978" s="93"/>
      <c r="AK978" s="93"/>
      <c r="AL978" s="93"/>
      <c r="AM978" s="93"/>
      <c r="AN978" s="93"/>
    </row>
    <row r="979" ht="15.75" customHeight="1">
      <c r="AJ979" s="93"/>
      <c r="AK979" s="93"/>
      <c r="AL979" s="93"/>
      <c r="AM979" s="93"/>
      <c r="AN979" s="93"/>
    </row>
    <row r="980" ht="15.75" customHeight="1">
      <c r="AJ980" s="93"/>
      <c r="AK980" s="93"/>
      <c r="AL980" s="93"/>
      <c r="AM980" s="93"/>
      <c r="AN980" s="93"/>
    </row>
    <row r="981" ht="15.75" customHeight="1">
      <c r="AJ981" s="93"/>
      <c r="AK981" s="93"/>
      <c r="AL981" s="93"/>
      <c r="AM981" s="93"/>
      <c r="AN981" s="93"/>
    </row>
    <row r="982" ht="15.75" customHeight="1">
      <c r="AJ982" s="93"/>
      <c r="AK982" s="93"/>
      <c r="AL982" s="93"/>
      <c r="AM982" s="93"/>
      <c r="AN982" s="93"/>
    </row>
    <row r="983" ht="15.75" customHeight="1">
      <c r="AJ983" s="93"/>
      <c r="AK983" s="93"/>
      <c r="AL983" s="93"/>
      <c r="AM983" s="93"/>
      <c r="AN983" s="93"/>
    </row>
    <row r="984" ht="15.75" customHeight="1">
      <c r="AJ984" s="93"/>
      <c r="AK984" s="93"/>
      <c r="AL984" s="93"/>
      <c r="AM984" s="93"/>
      <c r="AN984" s="93"/>
    </row>
    <row r="985" ht="15.75" customHeight="1">
      <c r="AJ985" s="93"/>
      <c r="AK985" s="93"/>
      <c r="AL985" s="93"/>
      <c r="AM985" s="93"/>
      <c r="AN985" s="93"/>
    </row>
    <row r="986" ht="15.75" customHeight="1">
      <c r="AJ986" s="93"/>
      <c r="AK986" s="93"/>
      <c r="AL986" s="93"/>
      <c r="AM986" s="93"/>
      <c r="AN986" s="93"/>
    </row>
    <row r="987" ht="15.75" customHeight="1">
      <c r="AJ987" s="93"/>
      <c r="AK987" s="93"/>
      <c r="AL987" s="93"/>
      <c r="AM987" s="93"/>
      <c r="AN987" s="93"/>
    </row>
    <row r="988" ht="15.75" customHeight="1">
      <c r="AJ988" s="93"/>
      <c r="AK988" s="93"/>
      <c r="AL988" s="93"/>
      <c r="AM988" s="93"/>
      <c r="AN988" s="93"/>
    </row>
    <row r="989" ht="15.75" customHeight="1">
      <c r="AJ989" s="93"/>
      <c r="AK989" s="93"/>
      <c r="AL989" s="93"/>
      <c r="AM989" s="93"/>
      <c r="AN989" s="93"/>
    </row>
    <row r="990" ht="15.75" customHeight="1">
      <c r="AJ990" s="93"/>
      <c r="AK990" s="93"/>
      <c r="AL990" s="93"/>
      <c r="AM990" s="93"/>
      <c r="AN990" s="93"/>
    </row>
    <row r="991" ht="15.75" customHeight="1">
      <c r="AJ991" s="93"/>
      <c r="AK991" s="93"/>
      <c r="AL991" s="93"/>
      <c r="AM991" s="93"/>
      <c r="AN991" s="93"/>
    </row>
    <row r="992" ht="15.75" customHeight="1">
      <c r="AJ992" s="93"/>
      <c r="AK992" s="93"/>
      <c r="AL992" s="93"/>
      <c r="AM992" s="93"/>
      <c r="AN992" s="93"/>
    </row>
    <row r="993" ht="15.75" customHeight="1">
      <c r="AJ993" s="93"/>
      <c r="AK993" s="93"/>
      <c r="AL993" s="93"/>
      <c r="AM993" s="93"/>
      <c r="AN993" s="93"/>
    </row>
    <row r="994" ht="15.75" customHeight="1">
      <c r="AJ994" s="93"/>
      <c r="AK994" s="93"/>
      <c r="AL994" s="93"/>
      <c r="AM994" s="93"/>
      <c r="AN994" s="93"/>
    </row>
    <row r="995" ht="15.75" customHeight="1">
      <c r="AJ995" s="93"/>
      <c r="AK995" s="93"/>
      <c r="AL995" s="93"/>
      <c r="AM995" s="93"/>
      <c r="AN995" s="93"/>
    </row>
    <row r="996" ht="15.75" customHeight="1">
      <c r="AJ996" s="93"/>
      <c r="AK996" s="93"/>
      <c r="AL996" s="93"/>
      <c r="AM996" s="93"/>
      <c r="AN996" s="93"/>
    </row>
    <row r="997" ht="15.75" customHeight="1">
      <c r="AJ997" s="93"/>
      <c r="AK997" s="93"/>
      <c r="AL997" s="93"/>
      <c r="AM997" s="93"/>
      <c r="AN997" s="93"/>
    </row>
    <row r="998" ht="15.75" customHeight="1">
      <c r="AJ998" s="93"/>
      <c r="AK998" s="93"/>
      <c r="AL998" s="93"/>
      <c r="AM998" s="93"/>
      <c r="AN998" s="93"/>
    </row>
    <row r="999" ht="15.75" customHeight="1">
      <c r="AJ999" s="93"/>
      <c r="AK999" s="93"/>
      <c r="AL999" s="93"/>
      <c r="AM999" s="93"/>
      <c r="AN999" s="93"/>
    </row>
    <row r="1000" ht="15.75" customHeight="1">
      <c r="AJ1000" s="93"/>
      <c r="AK1000" s="93"/>
      <c r="AL1000" s="93"/>
      <c r="AM1000" s="93"/>
      <c r="AN1000" s="93"/>
    </row>
  </sheetData>
  <mergeCells count="6">
    <mergeCell ref="F1:J1"/>
    <mergeCell ref="K1:O1"/>
    <mergeCell ref="P1:T1"/>
    <mergeCell ref="U1:Y1"/>
    <mergeCell ref="Z1:AD1"/>
    <mergeCell ref="AE1:AI1"/>
  </mergeCells>
  <dataValidations>
    <dataValidation type="list" allowBlank="1" showErrorMessage="1" sqref="C4:C256">
      <formula1>"Mayank Aggarwal,Rajesh Nanda,Akhilesh Mahajan,Amit Vats,Pranay Srivastava,Team Meenakshi/Suchi,Gaurav Mahajan,Navin Garg,Gupt Daan,Walk-In,Bajaj Aunty,Team Rajni/Sakshi,Amit Katiyar,Committee"</formula1>
    </dataValidation>
    <dataValidation type="list" allowBlank="1" showErrorMessage="1" sqref="G4:G256 L4:L256 Q4:Q256 V4:V256 AA4:AA256 AF4:AF256">
      <formula1>"Paid,Pending"</formula1>
    </dataValidation>
    <dataValidation type="list" allowBlank="1" showErrorMessage="1" sqref="J4:J256 O4:O256 T4:T256 Y4:Y256 AD4:AD256 AI4:AN256">
      <formula1>"Cash,UPI,Cheque"</formula1>
    </dataValidation>
  </dataValidations>
  <hyperlinks>
    <hyperlink r:id="rId1" ref="A2"/>
  </hyperlinks>
  <printOptions/>
  <pageMargins bottom="0.75" footer="0.0" header="0.0" left="0.7" right="0.7" top="0.75"/>
  <pageSetup orientation="landscape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4.75"/>
    <col customWidth="1" min="3" max="6" width="12.63"/>
    <col customWidth="1" min="14" max="14" width="6.63"/>
  </cols>
  <sheetData>
    <row r="1" ht="15.75" customHeight="1">
      <c r="A1" s="16" t="s">
        <v>2</v>
      </c>
      <c r="B1" s="70" t="s">
        <v>10</v>
      </c>
      <c r="C1" s="16" t="s">
        <v>11</v>
      </c>
      <c r="D1" s="16" t="s">
        <v>12</v>
      </c>
      <c r="E1" s="70" t="s">
        <v>13</v>
      </c>
      <c r="F1" s="16" t="s">
        <v>7</v>
      </c>
      <c r="G1" s="16" t="s">
        <v>15</v>
      </c>
      <c r="H1" s="16" t="s">
        <v>17</v>
      </c>
      <c r="I1" s="16" t="s">
        <v>19</v>
      </c>
      <c r="J1" s="70" t="s">
        <v>21</v>
      </c>
      <c r="K1" s="70" t="s">
        <v>23</v>
      </c>
      <c r="L1" s="70" t="s">
        <v>24</v>
      </c>
      <c r="M1" s="70" t="s">
        <v>25</v>
      </c>
      <c r="N1" s="71"/>
      <c r="O1" s="72" t="s">
        <v>812</v>
      </c>
      <c r="P1" s="72" t="s">
        <v>7</v>
      </c>
      <c r="Q1" s="72" t="s">
        <v>2</v>
      </c>
      <c r="R1" s="24"/>
      <c r="S1" s="24"/>
      <c r="T1" s="73"/>
      <c r="U1" s="24"/>
      <c r="V1" s="24"/>
      <c r="W1" s="24"/>
      <c r="X1" s="24"/>
      <c r="Y1" s="24"/>
    </row>
    <row r="2" ht="15.75" customHeight="1">
      <c r="A2" s="34"/>
      <c r="B2" s="34"/>
      <c r="C2" s="34"/>
      <c r="D2" s="33"/>
      <c r="E2" s="34"/>
      <c r="F2" s="34">
        <f>SUM(F3:F21)</f>
        <v>620801</v>
      </c>
      <c r="G2" s="34"/>
      <c r="H2" s="33"/>
      <c r="I2" s="34"/>
      <c r="J2" s="34"/>
      <c r="K2" s="34"/>
      <c r="L2" s="34"/>
      <c r="M2" s="34"/>
      <c r="N2" s="74"/>
      <c r="O2" s="34"/>
      <c r="P2" s="34">
        <f>SUM(P3:P13)</f>
        <v>601300</v>
      </c>
      <c r="Q2" s="34"/>
      <c r="R2" s="56"/>
      <c r="S2" s="56"/>
      <c r="T2" s="75" t="s">
        <v>817</v>
      </c>
      <c r="U2" s="44">
        <v>660101.0</v>
      </c>
    </row>
    <row r="3" ht="15.75" customHeight="1">
      <c r="A3" s="51">
        <v>45919.0</v>
      </c>
      <c r="B3" s="34" t="s">
        <v>820</v>
      </c>
      <c r="C3" s="34">
        <v>9.872669185E9</v>
      </c>
      <c r="D3" s="26" t="s">
        <v>821</v>
      </c>
      <c r="E3" s="50" t="s">
        <v>39</v>
      </c>
      <c r="F3" s="76">
        <v>101000.0</v>
      </c>
      <c r="G3" s="26"/>
      <c r="H3" s="26" t="s">
        <v>822</v>
      </c>
      <c r="I3" s="26"/>
      <c r="J3" s="50" t="s">
        <v>45</v>
      </c>
      <c r="K3" s="50" t="s">
        <v>47</v>
      </c>
      <c r="L3" s="50" t="s">
        <v>54</v>
      </c>
      <c r="M3" s="50"/>
      <c r="N3" s="77"/>
      <c r="O3" s="26" t="s">
        <v>823</v>
      </c>
      <c r="P3" s="76">
        <v>125000.0</v>
      </c>
      <c r="Q3" s="78">
        <v>45922.0</v>
      </c>
      <c r="R3" s="29"/>
      <c r="S3" s="29"/>
      <c r="T3" s="79" t="s">
        <v>825</v>
      </c>
      <c r="U3" s="34">
        <f>F2</f>
        <v>620801</v>
      </c>
    </row>
    <row r="4" ht="15.75" customHeight="1">
      <c r="A4" s="51">
        <v>45920.0</v>
      </c>
      <c r="B4" s="34" t="s">
        <v>826</v>
      </c>
      <c r="C4" s="34">
        <v>9.814815573E9</v>
      </c>
      <c r="D4" s="33" t="s">
        <v>703</v>
      </c>
      <c r="E4" s="50" t="s">
        <v>39</v>
      </c>
      <c r="F4" s="34">
        <v>51000.0</v>
      </c>
      <c r="G4" s="34"/>
      <c r="H4" s="33" t="s">
        <v>827</v>
      </c>
      <c r="I4" s="26"/>
      <c r="J4" s="50" t="s">
        <v>45</v>
      </c>
      <c r="K4" s="50" t="s">
        <v>47</v>
      </c>
      <c r="L4" s="50" t="s">
        <v>54</v>
      </c>
      <c r="M4" s="34"/>
      <c r="N4" s="74"/>
      <c r="O4" s="34" t="s">
        <v>830</v>
      </c>
      <c r="P4" s="34">
        <v>196000.0</v>
      </c>
      <c r="Q4" s="51">
        <v>45939.0</v>
      </c>
      <c r="T4" s="80" t="s">
        <v>831</v>
      </c>
      <c r="U4" s="34">
        <f>P2</f>
        <v>601300</v>
      </c>
    </row>
    <row r="5" ht="15.75" customHeight="1">
      <c r="A5" s="51">
        <v>45920.0</v>
      </c>
      <c r="B5" s="34" t="s">
        <v>145</v>
      </c>
      <c r="C5" s="34"/>
      <c r="D5" s="33"/>
      <c r="E5" s="50" t="s">
        <v>39</v>
      </c>
      <c r="F5" s="34">
        <v>61000.0</v>
      </c>
      <c r="G5" s="34"/>
      <c r="H5" s="33" t="s">
        <v>832</v>
      </c>
      <c r="I5" s="26"/>
      <c r="J5" s="50" t="s">
        <v>45</v>
      </c>
      <c r="K5" s="50" t="s">
        <v>47</v>
      </c>
      <c r="L5" s="50" t="s">
        <v>54</v>
      </c>
      <c r="M5" s="34"/>
      <c r="N5" s="74"/>
      <c r="O5" s="34" t="s">
        <v>836</v>
      </c>
      <c r="P5" s="34">
        <v>98000.0</v>
      </c>
      <c r="Q5" s="51">
        <v>45971.0</v>
      </c>
      <c r="T5" s="75" t="s">
        <v>837</v>
      </c>
      <c r="U5" s="44">
        <f>U3-U4</f>
        <v>19501</v>
      </c>
    </row>
    <row r="6" ht="15.75" customHeight="1">
      <c r="A6" s="51">
        <v>45921.0</v>
      </c>
      <c r="B6" s="34" t="s">
        <v>838</v>
      </c>
      <c r="C6" s="34">
        <v>9.872769299E9</v>
      </c>
      <c r="D6" s="33"/>
      <c r="E6" s="50" t="s">
        <v>39</v>
      </c>
      <c r="F6" s="34">
        <v>11000.0</v>
      </c>
      <c r="G6" s="34"/>
      <c r="H6" s="33" t="s">
        <v>840</v>
      </c>
      <c r="I6" s="26"/>
      <c r="J6" s="50" t="s">
        <v>45</v>
      </c>
      <c r="K6" s="50" t="s">
        <v>47</v>
      </c>
      <c r="L6" s="50" t="s">
        <v>54</v>
      </c>
      <c r="M6" s="34"/>
      <c r="N6" s="74"/>
      <c r="O6" s="34" t="s">
        <v>841</v>
      </c>
      <c r="P6" s="34">
        <v>182300.0</v>
      </c>
      <c r="Q6" s="51">
        <v>45978.0</v>
      </c>
      <c r="T6" s="80" t="s">
        <v>842</v>
      </c>
      <c r="U6" s="34">
        <f>U2-U3</f>
        <v>39300</v>
      </c>
    </row>
    <row r="7" ht="15.75" customHeight="1">
      <c r="A7" s="51">
        <v>45921.0</v>
      </c>
      <c r="B7" s="34" t="s">
        <v>843</v>
      </c>
      <c r="C7" s="34"/>
      <c r="D7" s="33" t="s">
        <v>844</v>
      </c>
      <c r="E7" s="50" t="s">
        <v>39</v>
      </c>
      <c r="F7" s="34">
        <v>5100.0</v>
      </c>
      <c r="G7" s="34"/>
      <c r="H7" s="33" t="s">
        <v>846</v>
      </c>
      <c r="I7" s="26"/>
      <c r="J7" s="50" t="s">
        <v>45</v>
      </c>
      <c r="K7" s="50" t="s">
        <v>47</v>
      </c>
      <c r="L7" s="50" t="s">
        <v>54</v>
      </c>
      <c r="M7" s="34"/>
      <c r="N7" s="74"/>
      <c r="O7" s="34"/>
      <c r="P7" s="34"/>
      <c r="Q7" s="34"/>
      <c r="T7" s="81"/>
    </row>
    <row r="8" ht="15.75" customHeight="1">
      <c r="A8" s="51">
        <v>45921.0</v>
      </c>
      <c r="B8" s="34" t="s">
        <v>847</v>
      </c>
      <c r="C8" s="34"/>
      <c r="D8" s="33" t="s">
        <v>62</v>
      </c>
      <c r="E8" s="50" t="s">
        <v>39</v>
      </c>
      <c r="F8" s="34">
        <v>501.0</v>
      </c>
      <c r="G8" s="34"/>
      <c r="H8" s="33" t="s">
        <v>850</v>
      </c>
      <c r="I8" s="26"/>
      <c r="J8" s="50" t="s">
        <v>45</v>
      </c>
      <c r="K8" s="50" t="s">
        <v>47</v>
      </c>
      <c r="L8" s="50" t="s">
        <v>54</v>
      </c>
      <c r="M8" s="34"/>
      <c r="N8" s="74"/>
      <c r="O8" s="34"/>
      <c r="P8" s="34"/>
      <c r="Q8" s="34"/>
      <c r="T8" s="81"/>
    </row>
    <row r="9" ht="15.75" customHeight="1">
      <c r="A9" s="51">
        <v>45922.0</v>
      </c>
      <c r="B9" s="34" t="s">
        <v>851</v>
      </c>
      <c r="C9" s="34"/>
      <c r="D9" s="33"/>
      <c r="E9" s="50" t="s">
        <v>39</v>
      </c>
      <c r="F9" s="34">
        <v>5100.0</v>
      </c>
      <c r="G9" s="34"/>
      <c r="H9" s="33" t="s">
        <v>852</v>
      </c>
      <c r="I9" s="26"/>
      <c r="J9" s="50" t="s">
        <v>45</v>
      </c>
      <c r="K9" s="50" t="s">
        <v>47</v>
      </c>
      <c r="L9" s="50" t="s">
        <v>54</v>
      </c>
      <c r="M9" s="34"/>
      <c r="N9" s="74"/>
      <c r="O9" s="34"/>
      <c r="P9" s="34"/>
      <c r="Q9" s="34"/>
      <c r="T9" s="81"/>
    </row>
    <row r="10" ht="15.75" customHeight="1">
      <c r="A10" s="51">
        <v>45922.0</v>
      </c>
      <c r="B10" s="34" t="s">
        <v>855</v>
      </c>
      <c r="C10" s="34">
        <v>9.98855666E9</v>
      </c>
      <c r="D10" s="33" t="s">
        <v>62</v>
      </c>
      <c r="E10" s="50" t="s">
        <v>39</v>
      </c>
      <c r="F10" s="34">
        <v>3100.0</v>
      </c>
      <c r="G10" s="34"/>
      <c r="H10" s="33" t="s">
        <v>856</v>
      </c>
      <c r="I10" s="26"/>
      <c r="J10" s="50" t="s">
        <v>45</v>
      </c>
      <c r="K10" s="50" t="s">
        <v>47</v>
      </c>
      <c r="L10" s="50" t="s">
        <v>54</v>
      </c>
      <c r="M10" s="34"/>
      <c r="N10" s="74"/>
      <c r="O10" s="34"/>
      <c r="P10" s="34"/>
      <c r="Q10" s="34"/>
      <c r="T10" s="81"/>
    </row>
    <row r="11" ht="15.75" customHeight="1">
      <c r="A11" s="51">
        <v>45920.0</v>
      </c>
      <c r="B11" s="34" t="s">
        <v>859</v>
      </c>
      <c r="C11" s="34"/>
      <c r="D11" s="33" t="s">
        <v>154</v>
      </c>
      <c r="E11" s="50" t="s">
        <v>39</v>
      </c>
      <c r="F11" s="34">
        <v>121000.0</v>
      </c>
      <c r="G11" s="34"/>
      <c r="H11" s="33" t="s">
        <v>860</v>
      </c>
      <c r="I11" s="26"/>
      <c r="J11" s="50" t="s">
        <v>45</v>
      </c>
      <c r="K11" s="50" t="s">
        <v>47</v>
      </c>
      <c r="L11" s="50" t="s">
        <v>54</v>
      </c>
      <c r="M11" s="34"/>
      <c r="N11" s="74"/>
      <c r="O11" s="34"/>
      <c r="P11" s="34"/>
      <c r="Q11" s="34"/>
      <c r="T11" s="81"/>
    </row>
    <row r="12" ht="15.75" customHeight="1">
      <c r="A12" s="51">
        <v>45950.0</v>
      </c>
      <c r="B12" s="34" t="s">
        <v>862</v>
      </c>
      <c r="C12" s="34"/>
      <c r="D12" s="33"/>
      <c r="E12" s="50" t="s">
        <v>39</v>
      </c>
      <c r="F12" s="34">
        <v>200000.0</v>
      </c>
      <c r="G12" s="34"/>
      <c r="H12" s="33" t="s">
        <v>863</v>
      </c>
      <c r="I12" s="26"/>
      <c r="J12" s="50" t="s">
        <v>45</v>
      </c>
      <c r="K12" s="50" t="s">
        <v>47</v>
      </c>
      <c r="L12" s="50" t="s">
        <v>49</v>
      </c>
      <c r="M12" s="34"/>
      <c r="N12" s="74"/>
      <c r="O12" s="34"/>
      <c r="P12" s="34"/>
      <c r="Q12" s="34"/>
      <c r="T12" s="81"/>
    </row>
    <row r="13" ht="15.75" customHeight="1">
      <c r="A13" s="51">
        <v>45970.0</v>
      </c>
      <c r="B13" s="34" t="s">
        <v>145</v>
      </c>
      <c r="C13" s="34"/>
      <c r="D13" s="33"/>
      <c r="E13" s="50" t="s">
        <v>39</v>
      </c>
      <c r="F13" s="34">
        <v>21000.0</v>
      </c>
      <c r="G13" s="34"/>
      <c r="H13" s="33" t="s">
        <v>864</v>
      </c>
      <c r="I13" s="26"/>
      <c r="J13" s="50" t="s">
        <v>45</v>
      </c>
      <c r="K13" s="50" t="s">
        <v>47</v>
      </c>
      <c r="L13" s="50" t="s">
        <v>61</v>
      </c>
      <c r="M13" s="34"/>
      <c r="N13" s="74"/>
      <c r="T13" s="81"/>
    </row>
    <row r="14" ht="15.75" customHeight="1">
      <c r="B14" s="34" t="s">
        <v>73</v>
      </c>
      <c r="C14" s="34"/>
      <c r="D14" s="33"/>
      <c r="E14" s="50" t="s">
        <v>39</v>
      </c>
      <c r="F14" s="34">
        <v>21000.0</v>
      </c>
      <c r="G14" s="34"/>
      <c r="H14" s="33" t="s">
        <v>867</v>
      </c>
      <c r="I14" s="26"/>
      <c r="J14" s="50" t="s">
        <v>45</v>
      </c>
      <c r="K14" s="50" t="s">
        <v>47</v>
      </c>
      <c r="L14" s="50" t="s">
        <v>61</v>
      </c>
      <c r="M14" s="34"/>
      <c r="N14" s="74"/>
      <c r="T14" s="81"/>
    </row>
    <row r="15" ht="15.75" customHeight="1">
      <c r="B15" s="34" t="s">
        <v>868</v>
      </c>
      <c r="C15" s="34"/>
      <c r="D15" s="33" t="s">
        <v>869</v>
      </c>
      <c r="E15" s="50" t="s">
        <v>39</v>
      </c>
      <c r="F15" s="34">
        <v>20000.0</v>
      </c>
      <c r="G15" s="34"/>
      <c r="H15" s="33" t="s">
        <v>870</v>
      </c>
      <c r="I15" s="26"/>
      <c r="J15" s="50" t="s">
        <v>45</v>
      </c>
      <c r="K15" s="50" t="s">
        <v>47</v>
      </c>
      <c r="L15" s="50" t="s">
        <v>61</v>
      </c>
      <c r="M15" s="34"/>
      <c r="N15" s="74"/>
      <c r="T15" s="81"/>
    </row>
    <row r="16" ht="15.75" customHeight="1">
      <c r="D16" s="33"/>
      <c r="E16" s="50"/>
      <c r="F16" s="34"/>
      <c r="G16" s="34"/>
      <c r="H16" s="33"/>
      <c r="I16" s="26"/>
      <c r="J16" s="50"/>
      <c r="K16" s="50"/>
      <c r="L16" s="50"/>
      <c r="M16" s="34"/>
      <c r="N16" s="74"/>
      <c r="T16" s="81"/>
    </row>
    <row r="17" ht="15.75" customHeight="1">
      <c r="D17" s="84"/>
      <c r="H17" s="84"/>
      <c r="N17" s="74"/>
      <c r="T17" s="81"/>
    </row>
    <row r="18" ht="15.75" customHeight="1">
      <c r="D18" s="84"/>
      <c r="H18" s="84"/>
      <c r="N18" s="74"/>
      <c r="T18" s="81"/>
    </row>
    <row r="19" ht="15.75" customHeight="1">
      <c r="D19" s="84"/>
      <c r="H19" s="84"/>
      <c r="N19" s="74"/>
      <c r="T19" s="81"/>
    </row>
    <row r="20" ht="15.75" customHeight="1">
      <c r="D20" s="84"/>
      <c r="H20" s="84"/>
      <c r="N20" s="74"/>
      <c r="T20" s="81"/>
    </row>
    <row r="21" ht="15.75" customHeight="1">
      <c r="D21" s="84"/>
      <c r="H21" s="84"/>
      <c r="N21" s="74"/>
      <c r="T21" s="81"/>
    </row>
    <row r="22" ht="15.75" customHeight="1">
      <c r="D22" s="84"/>
      <c r="H22" s="84"/>
      <c r="N22" s="74"/>
      <c r="T22" s="81"/>
    </row>
    <row r="23" ht="15.75" customHeight="1">
      <c r="D23" s="84"/>
      <c r="H23" s="84"/>
      <c r="N23" s="74"/>
      <c r="T23" s="81"/>
    </row>
    <row r="24" ht="15.75" customHeight="1">
      <c r="D24" s="84"/>
      <c r="H24" s="84"/>
      <c r="N24" s="74"/>
      <c r="T24" s="81"/>
    </row>
    <row r="25" ht="15.75" customHeight="1">
      <c r="D25" s="84"/>
      <c r="H25" s="84"/>
      <c r="N25" s="74"/>
      <c r="T25" s="81"/>
    </row>
    <row r="26" ht="15.75" customHeight="1">
      <c r="D26" s="84"/>
      <c r="H26" s="84"/>
      <c r="N26" s="74"/>
      <c r="T26" s="81"/>
    </row>
    <row r="27" ht="15.75" customHeight="1">
      <c r="D27" s="84"/>
      <c r="H27" s="84"/>
      <c r="N27" s="74"/>
      <c r="T27" s="81"/>
    </row>
    <row r="28" ht="15.75" customHeight="1">
      <c r="D28" s="84"/>
      <c r="H28" s="84"/>
      <c r="N28" s="74"/>
      <c r="T28" s="81"/>
    </row>
    <row r="29" ht="15.75" customHeight="1">
      <c r="D29" s="84"/>
      <c r="H29" s="84"/>
      <c r="N29" s="74"/>
      <c r="T29" s="81"/>
    </row>
    <row r="30" ht="15.75" customHeight="1">
      <c r="D30" s="84"/>
      <c r="H30" s="84"/>
      <c r="N30" s="74"/>
      <c r="T30" s="81"/>
    </row>
    <row r="31" ht="15.75" customHeight="1">
      <c r="D31" s="84"/>
      <c r="H31" s="84"/>
      <c r="N31" s="74"/>
      <c r="T31" s="81"/>
    </row>
    <row r="32" ht="15.75" customHeight="1">
      <c r="D32" s="84"/>
      <c r="H32" s="84"/>
      <c r="N32" s="74"/>
      <c r="T32" s="81"/>
    </row>
    <row r="33" ht="15.75" customHeight="1">
      <c r="D33" s="84"/>
      <c r="H33" s="84"/>
      <c r="N33" s="74"/>
      <c r="T33" s="81"/>
    </row>
    <row r="34" ht="15.75" customHeight="1">
      <c r="D34" s="84"/>
      <c r="H34" s="84"/>
      <c r="N34" s="74"/>
      <c r="T34" s="81"/>
    </row>
    <row r="35" ht="15.75" customHeight="1">
      <c r="D35" s="84"/>
      <c r="H35" s="84"/>
      <c r="N35" s="74"/>
      <c r="T35" s="81"/>
    </row>
    <row r="36" ht="15.75" customHeight="1">
      <c r="D36" s="84"/>
      <c r="H36" s="84"/>
      <c r="N36" s="74"/>
      <c r="T36" s="81"/>
    </row>
    <row r="37" ht="15.75" customHeight="1">
      <c r="D37" s="84"/>
      <c r="H37" s="84"/>
      <c r="N37" s="74"/>
      <c r="T37" s="81"/>
    </row>
    <row r="38" ht="15.75" customHeight="1">
      <c r="D38" s="84"/>
      <c r="H38" s="84"/>
      <c r="N38" s="74"/>
      <c r="T38" s="81"/>
    </row>
    <row r="39" ht="15.75" customHeight="1">
      <c r="D39" s="84"/>
      <c r="H39" s="84"/>
      <c r="N39" s="74"/>
      <c r="T39" s="81"/>
    </row>
    <row r="40" ht="15.75" customHeight="1">
      <c r="D40" s="84"/>
      <c r="H40" s="84"/>
      <c r="N40" s="74"/>
      <c r="T40" s="81"/>
    </row>
    <row r="41" ht="15.75" customHeight="1">
      <c r="D41" s="84"/>
      <c r="H41" s="84"/>
      <c r="N41" s="74"/>
      <c r="T41" s="81"/>
    </row>
    <row r="42" ht="15.75" customHeight="1">
      <c r="D42" s="84"/>
      <c r="H42" s="84"/>
      <c r="N42" s="74"/>
      <c r="T42" s="81"/>
    </row>
    <row r="43" ht="15.75" customHeight="1">
      <c r="D43" s="84"/>
      <c r="H43" s="84"/>
      <c r="N43" s="74"/>
      <c r="T43" s="81"/>
    </row>
    <row r="44" ht="15.75" customHeight="1">
      <c r="D44" s="84"/>
      <c r="H44" s="84"/>
      <c r="N44" s="74"/>
      <c r="T44" s="81"/>
    </row>
    <row r="45" ht="15.75" customHeight="1">
      <c r="D45" s="84"/>
      <c r="H45" s="84"/>
      <c r="N45" s="74"/>
      <c r="T45" s="81"/>
    </row>
    <row r="46" ht="15.75" customHeight="1">
      <c r="D46" s="84"/>
      <c r="H46" s="84"/>
      <c r="N46" s="74"/>
      <c r="T46" s="81"/>
    </row>
    <row r="47" ht="15.75" customHeight="1">
      <c r="D47" s="84"/>
      <c r="H47" s="84"/>
      <c r="N47" s="74"/>
      <c r="T47" s="81"/>
    </row>
    <row r="48" ht="15.75" customHeight="1">
      <c r="D48" s="84"/>
      <c r="H48" s="84"/>
      <c r="N48" s="74"/>
      <c r="T48" s="81"/>
    </row>
    <row r="49" ht="15.75" customHeight="1">
      <c r="D49" s="84"/>
      <c r="H49" s="84"/>
      <c r="N49" s="74"/>
      <c r="T49" s="81"/>
    </row>
    <row r="50" ht="15.75" customHeight="1">
      <c r="D50" s="84"/>
      <c r="H50" s="84"/>
      <c r="N50" s="74"/>
      <c r="T50" s="81"/>
    </row>
    <row r="51" ht="15.75" customHeight="1">
      <c r="D51" s="84"/>
      <c r="H51" s="84"/>
      <c r="N51" s="74"/>
      <c r="T51" s="81"/>
    </row>
    <row r="52" ht="15.75" customHeight="1">
      <c r="D52" s="84"/>
      <c r="H52" s="84"/>
      <c r="N52" s="74"/>
      <c r="T52" s="81"/>
    </row>
    <row r="53" ht="15.75" customHeight="1">
      <c r="D53" s="84"/>
      <c r="H53" s="84"/>
      <c r="N53" s="74"/>
      <c r="T53" s="81"/>
    </row>
    <row r="54" ht="15.75" customHeight="1">
      <c r="D54" s="84"/>
      <c r="H54" s="84"/>
      <c r="N54" s="74"/>
      <c r="T54" s="81"/>
    </row>
    <row r="55" ht="15.75" customHeight="1">
      <c r="D55" s="84"/>
      <c r="H55" s="84"/>
      <c r="N55" s="74"/>
      <c r="T55" s="81"/>
    </row>
    <row r="56" ht="15.75" customHeight="1">
      <c r="D56" s="84"/>
      <c r="H56" s="84"/>
      <c r="N56" s="74"/>
      <c r="T56" s="81"/>
    </row>
    <row r="57" ht="15.75" customHeight="1">
      <c r="D57" s="84"/>
      <c r="H57" s="84"/>
      <c r="N57" s="74"/>
      <c r="T57" s="81"/>
    </row>
    <row r="58" ht="15.75" customHeight="1">
      <c r="D58" s="84"/>
      <c r="H58" s="84"/>
      <c r="N58" s="74"/>
      <c r="T58" s="81"/>
    </row>
    <row r="59" ht="15.75" customHeight="1">
      <c r="D59" s="84"/>
      <c r="H59" s="84"/>
      <c r="N59" s="74"/>
      <c r="T59" s="81"/>
    </row>
    <row r="60" ht="15.75" customHeight="1">
      <c r="D60" s="84"/>
      <c r="H60" s="84"/>
      <c r="N60" s="74"/>
      <c r="T60" s="81"/>
    </row>
    <row r="61" ht="15.75" customHeight="1">
      <c r="D61" s="84"/>
      <c r="H61" s="84"/>
      <c r="N61" s="74"/>
      <c r="T61" s="81"/>
    </row>
    <row r="62" ht="15.75" customHeight="1">
      <c r="D62" s="84"/>
      <c r="H62" s="84"/>
      <c r="N62" s="74"/>
      <c r="T62" s="81"/>
    </row>
    <row r="63" ht="15.75" customHeight="1">
      <c r="D63" s="84"/>
      <c r="H63" s="84"/>
      <c r="N63" s="74"/>
      <c r="T63" s="81"/>
    </row>
    <row r="64" ht="15.75" customHeight="1">
      <c r="D64" s="84"/>
      <c r="H64" s="84"/>
      <c r="N64" s="74"/>
      <c r="T64" s="81"/>
    </row>
    <row r="65" ht="15.75" customHeight="1">
      <c r="D65" s="84"/>
      <c r="H65" s="84"/>
      <c r="N65" s="74"/>
      <c r="T65" s="81"/>
    </row>
    <row r="66" ht="15.75" customHeight="1">
      <c r="D66" s="84"/>
      <c r="H66" s="84"/>
      <c r="N66" s="74"/>
      <c r="T66" s="81"/>
    </row>
    <row r="67" ht="15.75" customHeight="1">
      <c r="D67" s="84"/>
      <c r="H67" s="84"/>
      <c r="N67" s="74"/>
      <c r="T67" s="81"/>
    </row>
    <row r="68" ht="15.75" customHeight="1">
      <c r="D68" s="84"/>
      <c r="H68" s="84"/>
      <c r="N68" s="74"/>
      <c r="T68" s="81"/>
    </row>
    <row r="69" ht="15.75" customHeight="1">
      <c r="D69" s="84"/>
      <c r="H69" s="84"/>
      <c r="N69" s="74"/>
      <c r="T69" s="81"/>
    </row>
    <row r="70" ht="15.75" customHeight="1">
      <c r="D70" s="84"/>
      <c r="H70" s="84"/>
      <c r="N70" s="74"/>
      <c r="T70" s="81"/>
    </row>
    <row r="71" ht="15.75" customHeight="1">
      <c r="D71" s="84"/>
      <c r="H71" s="84"/>
      <c r="N71" s="74"/>
      <c r="T71" s="81"/>
    </row>
    <row r="72" ht="15.75" customHeight="1">
      <c r="D72" s="84"/>
      <c r="H72" s="84"/>
      <c r="N72" s="74"/>
      <c r="T72" s="81"/>
    </row>
    <row r="73" ht="15.75" customHeight="1">
      <c r="D73" s="84"/>
      <c r="H73" s="84"/>
      <c r="N73" s="74"/>
      <c r="T73" s="81"/>
    </row>
    <row r="74" ht="15.75" customHeight="1">
      <c r="D74" s="84"/>
      <c r="H74" s="84"/>
      <c r="N74" s="74"/>
      <c r="T74" s="81"/>
    </row>
    <row r="75" ht="15.75" customHeight="1">
      <c r="D75" s="84"/>
      <c r="H75" s="84"/>
      <c r="N75" s="74"/>
      <c r="T75" s="81"/>
    </row>
    <row r="76" ht="15.75" customHeight="1">
      <c r="D76" s="84"/>
      <c r="H76" s="84"/>
      <c r="N76" s="74"/>
      <c r="T76" s="81"/>
    </row>
    <row r="77" ht="15.75" customHeight="1">
      <c r="D77" s="84"/>
      <c r="H77" s="84"/>
      <c r="N77" s="74"/>
      <c r="T77" s="81"/>
    </row>
    <row r="78" ht="15.75" customHeight="1">
      <c r="D78" s="84"/>
      <c r="H78" s="84"/>
      <c r="N78" s="74"/>
      <c r="T78" s="81"/>
    </row>
    <row r="79" ht="15.75" customHeight="1">
      <c r="D79" s="84"/>
      <c r="H79" s="84"/>
      <c r="N79" s="74"/>
      <c r="T79" s="81"/>
    </row>
    <row r="80" ht="15.75" customHeight="1">
      <c r="D80" s="84"/>
      <c r="H80" s="84"/>
      <c r="N80" s="74"/>
      <c r="T80" s="81"/>
    </row>
    <row r="81" ht="15.75" customHeight="1">
      <c r="D81" s="84"/>
      <c r="H81" s="84"/>
      <c r="N81" s="74"/>
      <c r="T81" s="81"/>
    </row>
    <row r="82" ht="15.75" customHeight="1">
      <c r="D82" s="84"/>
      <c r="H82" s="84"/>
      <c r="N82" s="74"/>
      <c r="T82" s="81"/>
    </row>
    <row r="83" ht="15.75" customHeight="1">
      <c r="D83" s="84"/>
      <c r="H83" s="84"/>
      <c r="N83" s="74"/>
      <c r="T83" s="81"/>
    </row>
    <row r="84" ht="15.75" customHeight="1">
      <c r="D84" s="84"/>
      <c r="H84" s="84"/>
      <c r="N84" s="74"/>
      <c r="T84" s="81"/>
    </row>
    <row r="85" ht="15.75" customHeight="1">
      <c r="D85" s="84"/>
      <c r="H85" s="84"/>
      <c r="N85" s="74"/>
      <c r="T85" s="81"/>
    </row>
    <row r="86" ht="15.75" customHeight="1">
      <c r="D86" s="84"/>
      <c r="H86" s="84"/>
      <c r="N86" s="74"/>
      <c r="T86" s="81"/>
    </row>
    <row r="87" ht="15.75" customHeight="1">
      <c r="D87" s="84"/>
      <c r="H87" s="84"/>
      <c r="N87" s="74"/>
      <c r="T87" s="81"/>
    </row>
    <row r="88" ht="15.75" customHeight="1">
      <c r="D88" s="84"/>
      <c r="H88" s="84"/>
      <c r="N88" s="74"/>
      <c r="T88" s="81"/>
    </row>
    <row r="89" ht="15.75" customHeight="1">
      <c r="D89" s="84"/>
      <c r="H89" s="84"/>
      <c r="N89" s="74"/>
      <c r="T89" s="81"/>
    </row>
    <row r="90" ht="15.75" customHeight="1">
      <c r="D90" s="84"/>
      <c r="H90" s="84"/>
      <c r="N90" s="74"/>
      <c r="T90" s="81"/>
    </row>
    <row r="91" ht="15.75" customHeight="1">
      <c r="D91" s="84"/>
      <c r="H91" s="84"/>
      <c r="N91" s="74"/>
      <c r="T91" s="81"/>
    </row>
    <row r="92" ht="15.75" customHeight="1">
      <c r="D92" s="84"/>
      <c r="H92" s="84"/>
      <c r="N92" s="74"/>
      <c r="T92" s="81"/>
    </row>
    <row r="93" ht="15.75" customHeight="1">
      <c r="D93" s="84"/>
      <c r="H93" s="84"/>
      <c r="N93" s="74"/>
      <c r="T93" s="81"/>
    </row>
    <row r="94" ht="15.75" customHeight="1">
      <c r="D94" s="84"/>
      <c r="H94" s="84"/>
      <c r="N94" s="74"/>
      <c r="T94" s="81"/>
    </row>
    <row r="95" ht="15.75" customHeight="1">
      <c r="D95" s="84"/>
      <c r="H95" s="84"/>
      <c r="N95" s="74"/>
      <c r="T95" s="81"/>
    </row>
    <row r="96" ht="15.75" customHeight="1">
      <c r="D96" s="84"/>
      <c r="H96" s="84"/>
      <c r="N96" s="74"/>
      <c r="T96" s="81"/>
    </row>
    <row r="97" ht="15.75" customHeight="1">
      <c r="D97" s="84"/>
      <c r="H97" s="84"/>
      <c r="N97" s="74"/>
      <c r="T97" s="81"/>
    </row>
    <row r="98" ht="15.75" customHeight="1">
      <c r="D98" s="84"/>
      <c r="H98" s="84"/>
      <c r="N98" s="74"/>
      <c r="T98" s="81"/>
    </row>
    <row r="99" ht="15.75" customHeight="1">
      <c r="D99" s="84"/>
      <c r="H99" s="84"/>
      <c r="N99" s="74"/>
      <c r="T99" s="81"/>
    </row>
    <row r="100" ht="15.75" customHeight="1">
      <c r="D100" s="84"/>
      <c r="H100" s="84"/>
      <c r="N100" s="74"/>
      <c r="T100" s="81"/>
    </row>
    <row r="101" ht="15.75" customHeight="1">
      <c r="D101" s="84"/>
      <c r="H101" s="84"/>
      <c r="N101" s="74"/>
      <c r="T101" s="81"/>
    </row>
    <row r="102" ht="15.75" customHeight="1">
      <c r="D102" s="84"/>
      <c r="H102" s="84"/>
      <c r="N102" s="74"/>
      <c r="T102" s="81"/>
    </row>
    <row r="103" ht="15.75" customHeight="1">
      <c r="D103" s="84"/>
      <c r="H103" s="84"/>
      <c r="N103" s="74"/>
      <c r="T103" s="81"/>
    </row>
    <row r="104" ht="15.75" customHeight="1">
      <c r="D104" s="84"/>
      <c r="H104" s="84"/>
      <c r="N104" s="74"/>
      <c r="T104" s="81"/>
    </row>
    <row r="105" ht="15.75" customHeight="1">
      <c r="D105" s="84"/>
      <c r="H105" s="84"/>
      <c r="N105" s="74"/>
      <c r="T105" s="81"/>
    </row>
    <row r="106" ht="15.75" customHeight="1">
      <c r="D106" s="84"/>
      <c r="H106" s="84"/>
      <c r="N106" s="74"/>
      <c r="T106" s="81"/>
    </row>
    <row r="107" ht="15.75" customHeight="1">
      <c r="D107" s="84"/>
      <c r="H107" s="84"/>
      <c r="N107" s="74"/>
      <c r="T107" s="81"/>
    </row>
    <row r="108" ht="15.75" customHeight="1">
      <c r="D108" s="84"/>
      <c r="H108" s="84"/>
      <c r="N108" s="74"/>
      <c r="T108" s="81"/>
    </row>
    <row r="109" ht="15.75" customHeight="1">
      <c r="D109" s="84"/>
      <c r="H109" s="84"/>
      <c r="N109" s="74"/>
      <c r="T109" s="81"/>
    </row>
    <row r="110" ht="15.75" customHeight="1">
      <c r="D110" s="84"/>
      <c r="H110" s="84"/>
      <c r="N110" s="74"/>
      <c r="T110" s="81"/>
    </row>
    <row r="111" ht="15.75" customHeight="1">
      <c r="D111" s="84"/>
      <c r="H111" s="84"/>
      <c r="N111" s="74"/>
      <c r="T111" s="81"/>
    </row>
    <row r="112" ht="15.75" customHeight="1">
      <c r="D112" s="84"/>
      <c r="H112" s="84"/>
      <c r="N112" s="74"/>
      <c r="T112" s="81"/>
    </row>
    <row r="113" ht="15.75" customHeight="1">
      <c r="D113" s="84"/>
      <c r="H113" s="84"/>
      <c r="N113" s="74"/>
      <c r="T113" s="81"/>
    </row>
    <row r="114" ht="15.75" customHeight="1">
      <c r="D114" s="84"/>
      <c r="H114" s="84"/>
      <c r="N114" s="74"/>
      <c r="T114" s="81"/>
    </row>
    <row r="115" ht="15.75" customHeight="1">
      <c r="D115" s="84"/>
      <c r="H115" s="84"/>
      <c r="N115" s="74"/>
      <c r="T115" s="81"/>
    </row>
    <row r="116" ht="15.75" customHeight="1">
      <c r="D116" s="84"/>
      <c r="H116" s="84"/>
      <c r="N116" s="74"/>
      <c r="T116" s="81"/>
    </row>
    <row r="117" ht="15.75" customHeight="1">
      <c r="D117" s="84"/>
      <c r="H117" s="84"/>
      <c r="N117" s="74"/>
      <c r="T117" s="81"/>
    </row>
    <row r="118" ht="15.75" customHeight="1">
      <c r="D118" s="84"/>
      <c r="H118" s="84"/>
      <c r="N118" s="74"/>
      <c r="T118" s="81"/>
    </row>
    <row r="119" ht="15.75" customHeight="1">
      <c r="D119" s="84"/>
      <c r="H119" s="84"/>
      <c r="N119" s="74"/>
      <c r="T119" s="81"/>
    </row>
    <row r="120" ht="15.75" customHeight="1">
      <c r="D120" s="84"/>
      <c r="H120" s="84"/>
      <c r="N120" s="74"/>
      <c r="T120" s="81"/>
    </row>
    <row r="121" ht="15.75" customHeight="1">
      <c r="D121" s="84"/>
      <c r="H121" s="84"/>
      <c r="N121" s="74"/>
      <c r="T121" s="81"/>
    </row>
    <row r="122" ht="15.75" customHeight="1">
      <c r="D122" s="84"/>
      <c r="H122" s="84"/>
      <c r="N122" s="74"/>
      <c r="T122" s="81"/>
    </row>
    <row r="123" ht="15.75" customHeight="1">
      <c r="D123" s="84"/>
      <c r="H123" s="84"/>
      <c r="N123" s="74"/>
      <c r="T123" s="81"/>
    </row>
    <row r="124" ht="15.75" customHeight="1">
      <c r="D124" s="84"/>
      <c r="H124" s="84"/>
      <c r="N124" s="74"/>
      <c r="T124" s="81"/>
    </row>
    <row r="125" ht="15.75" customHeight="1">
      <c r="D125" s="84"/>
      <c r="H125" s="84"/>
      <c r="N125" s="74"/>
      <c r="T125" s="81"/>
    </row>
    <row r="126" ht="15.75" customHeight="1">
      <c r="D126" s="84"/>
      <c r="H126" s="84"/>
      <c r="N126" s="74"/>
      <c r="T126" s="81"/>
    </row>
    <row r="127" ht="15.75" customHeight="1">
      <c r="D127" s="84"/>
      <c r="H127" s="84"/>
      <c r="N127" s="74"/>
      <c r="T127" s="81"/>
    </row>
    <row r="128" ht="15.75" customHeight="1">
      <c r="D128" s="84"/>
      <c r="H128" s="84"/>
      <c r="N128" s="74"/>
      <c r="T128" s="81"/>
    </row>
    <row r="129" ht="15.75" customHeight="1">
      <c r="D129" s="84"/>
      <c r="H129" s="84"/>
      <c r="N129" s="74"/>
      <c r="T129" s="81"/>
    </row>
    <row r="130" ht="15.75" customHeight="1">
      <c r="D130" s="84"/>
      <c r="H130" s="84"/>
      <c r="N130" s="74"/>
      <c r="T130" s="81"/>
    </row>
    <row r="131" ht="15.75" customHeight="1">
      <c r="D131" s="84"/>
      <c r="H131" s="84"/>
      <c r="N131" s="74"/>
      <c r="T131" s="81"/>
    </row>
    <row r="132" ht="15.75" customHeight="1">
      <c r="D132" s="84"/>
      <c r="H132" s="84"/>
      <c r="N132" s="74"/>
      <c r="T132" s="81"/>
    </row>
    <row r="133" ht="15.75" customHeight="1">
      <c r="D133" s="84"/>
      <c r="H133" s="84"/>
      <c r="N133" s="74"/>
      <c r="T133" s="81"/>
    </row>
    <row r="134" ht="15.75" customHeight="1">
      <c r="D134" s="84"/>
      <c r="H134" s="84"/>
      <c r="N134" s="74"/>
      <c r="T134" s="81"/>
    </row>
    <row r="135" ht="15.75" customHeight="1">
      <c r="D135" s="84"/>
      <c r="H135" s="84"/>
      <c r="N135" s="74"/>
      <c r="T135" s="81"/>
    </row>
    <row r="136" ht="15.75" customHeight="1">
      <c r="D136" s="84"/>
      <c r="H136" s="84"/>
      <c r="N136" s="74"/>
      <c r="T136" s="81"/>
    </row>
    <row r="137" ht="15.75" customHeight="1">
      <c r="D137" s="84"/>
      <c r="H137" s="84"/>
      <c r="N137" s="74"/>
      <c r="T137" s="81"/>
    </row>
    <row r="138" ht="15.75" customHeight="1">
      <c r="D138" s="84"/>
      <c r="H138" s="84"/>
      <c r="N138" s="74"/>
      <c r="T138" s="81"/>
    </row>
    <row r="139" ht="15.75" customHeight="1">
      <c r="D139" s="84"/>
      <c r="H139" s="84"/>
      <c r="N139" s="74"/>
      <c r="T139" s="81"/>
    </row>
    <row r="140" ht="15.75" customHeight="1">
      <c r="D140" s="84"/>
      <c r="H140" s="84"/>
      <c r="N140" s="74"/>
      <c r="T140" s="81"/>
    </row>
    <row r="141" ht="15.75" customHeight="1">
      <c r="D141" s="84"/>
      <c r="H141" s="84"/>
      <c r="N141" s="74"/>
      <c r="T141" s="81"/>
    </row>
    <row r="142" ht="15.75" customHeight="1">
      <c r="D142" s="84"/>
      <c r="H142" s="84"/>
      <c r="N142" s="74"/>
      <c r="T142" s="81"/>
    </row>
    <row r="143" ht="15.75" customHeight="1">
      <c r="D143" s="84"/>
      <c r="H143" s="84"/>
      <c r="N143" s="74"/>
      <c r="T143" s="81"/>
    </row>
    <row r="144" ht="15.75" customHeight="1">
      <c r="D144" s="84"/>
      <c r="H144" s="84"/>
      <c r="N144" s="74"/>
      <c r="T144" s="81"/>
    </row>
    <row r="145" ht="15.75" customHeight="1">
      <c r="D145" s="84"/>
      <c r="H145" s="84"/>
      <c r="N145" s="74"/>
      <c r="T145" s="81"/>
    </row>
    <row r="146" ht="15.75" customHeight="1">
      <c r="D146" s="84"/>
      <c r="H146" s="84"/>
      <c r="N146" s="74"/>
      <c r="T146" s="81"/>
    </row>
    <row r="147" ht="15.75" customHeight="1">
      <c r="D147" s="84"/>
      <c r="H147" s="84"/>
      <c r="N147" s="74"/>
      <c r="T147" s="81"/>
    </row>
    <row r="148" ht="15.75" customHeight="1">
      <c r="D148" s="84"/>
      <c r="H148" s="84"/>
      <c r="N148" s="74"/>
      <c r="T148" s="81"/>
    </row>
    <row r="149" ht="15.75" customHeight="1">
      <c r="D149" s="84"/>
      <c r="H149" s="84"/>
      <c r="N149" s="74"/>
      <c r="T149" s="81"/>
    </row>
    <row r="150" ht="15.75" customHeight="1">
      <c r="D150" s="84"/>
      <c r="H150" s="84"/>
      <c r="N150" s="74"/>
      <c r="T150" s="81"/>
    </row>
    <row r="151" ht="15.75" customHeight="1">
      <c r="D151" s="84"/>
      <c r="H151" s="84"/>
      <c r="N151" s="74"/>
      <c r="T151" s="81"/>
    </row>
    <row r="152" ht="15.75" customHeight="1">
      <c r="D152" s="84"/>
      <c r="H152" s="84"/>
      <c r="N152" s="74"/>
      <c r="T152" s="81"/>
    </row>
    <row r="153" ht="15.75" customHeight="1">
      <c r="D153" s="84"/>
      <c r="H153" s="84"/>
      <c r="N153" s="74"/>
      <c r="T153" s="81"/>
    </row>
    <row r="154" ht="15.75" customHeight="1">
      <c r="D154" s="84"/>
      <c r="H154" s="84"/>
      <c r="N154" s="74"/>
      <c r="T154" s="81"/>
    </row>
    <row r="155" ht="15.75" customHeight="1">
      <c r="D155" s="84"/>
      <c r="H155" s="84"/>
      <c r="N155" s="74"/>
      <c r="T155" s="81"/>
    </row>
    <row r="156" ht="15.75" customHeight="1">
      <c r="D156" s="84"/>
      <c r="H156" s="84"/>
      <c r="N156" s="74"/>
      <c r="T156" s="81"/>
    </row>
    <row r="157" ht="15.75" customHeight="1">
      <c r="D157" s="84"/>
      <c r="H157" s="84"/>
      <c r="N157" s="74"/>
      <c r="T157" s="81"/>
    </row>
    <row r="158" ht="15.75" customHeight="1">
      <c r="D158" s="84"/>
      <c r="H158" s="84"/>
      <c r="N158" s="74"/>
      <c r="T158" s="81"/>
    </row>
    <row r="159" ht="15.75" customHeight="1">
      <c r="D159" s="84"/>
      <c r="H159" s="84"/>
      <c r="N159" s="74"/>
      <c r="T159" s="81"/>
    </row>
    <row r="160" ht="15.75" customHeight="1">
      <c r="D160" s="84"/>
      <c r="H160" s="84"/>
      <c r="N160" s="74"/>
      <c r="T160" s="81"/>
    </row>
    <row r="161" ht="15.75" customHeight="1">
      <c r="D161" s="84"/>
      <c r="H161" s="84"/>
      <c r="N161" s="74"/>
      <c r="T161" s="81"/>
    </row>
    <row r="162" ht="15.75" customHeight="1">
      <c r="D162" s="84"/>
      <c r="H162" s="84"/>
      <c r="N162" s="74"/>
      <c r="T162" s="81"/>
    </row>
    <row r="163" ht="15.75" customHeight="1">
      <c r="D163" s="84"/>
      <c r="H163" s="84"/>
      <c r="N163" s="74"/>
      <c r="T163" s="81"/>
    </row>
    <row r="164" ht="15.75" customHeight="1">
      <c r="D164" s="84"/>
      <c r="H164" s="84"/>
      <c r="N164" s="74"/>
      <c r="T164" s="81"/>
    </row>
    <row r="165" ht="15.75" customHeight="1">
      <c r="D165" s="84"/>
      <c r="H165" s="84"/>
      <c r="N165" s="74"/>
      <c r="T165" s="81"/>
    </row>
    <row r="166" ht="15.75" customHeight="1">
      <c r="D166" s="84"/>
      <c r="H166" s="84"/>
      <c r="N166" s="74"/>
      <c r="T166" s="81"/>
    </row>
    <row r="167" ht="15.75" customHeight="1">
      <c r="D167" s="84"/>
      <c r="H167" s="84"/>
      <c r="N167" s="74"/>
      <c r="T167" s="81"/>
    </row>
    <row r="168" ht="15.75" customHeight="1">
      <c r="D168" s="84"/>
      <c r="H168" s="84"/>
      <c r="N168" s="74"/>
      <c r="T168" s="81"/>
    </row>
    <row r="169" ht="15.75" customHeight="1">
      <c r="D169" s="84"/>
      <c r="H169" s="84"/>
      <c r="N169" s="74"/>
      <c r="T169" s="81"/>
    </row>
    <row r="170" ht="15.75" customHeight="1">
      <c r="D170" s="84"/>
      <c r="H170" s="84"/>
      <c r="N170" s="74"/>
      <c r="T170" s="81"/>
    </row>
    <row r="171" ht="15.75" customHeight="1">
      <c r="D171" s="84"/>
      <c r="H171" s="84"/>
      <c r="N171" s="74"/>
      <c r="T171" s="81"/>
    </row>
    <row r="172" ht="15.75" customHeight="1">
      <c r="D172" s="84"/>
      <c r="H172" s="84"/>
      <c r="N172" s="74"/>
      <c r="T172" s="81"/>
    </row>
    <row r="173" ht="15.75" customHeight="1">
      <c r="D173" s="84"/>
      <c r="H173" s="84"/>
      <c r="N173" s="74"/>
      <c r="T173" s="81"/>
    </row>
    <row r="174" ht="15.75" customHeight="1">
      <c r="D174" s="84"/>
      <c r="H174" s="84"/>
      <c r="N174" s="74"/>
      <c r="T174" s="81"/>
    </row>
    <row r="175" ht="15.75" customHeight="1">
      <c r="D175" s="84"/>
      <c r="H175" s="84"/>
      <c r="N175" s="74"/>
      <c r="T175" s="81"/>
    </row>
    <row r="176" ht="15.75" customHeight="1">
      <c r="D176" s="84"/>
      <c r="H176" s="84"/>
      <c r="N176" s="74"/>
      <c r="T176" s="81"/>
    </row>
    <row r="177" ht="15.75" customHeight="1">
      <c r="D177" s="84"/>
      <c r="H177" s="84"/>
      <c r="N177" s="74"/>
      <c r="T177" s="81"/>
    </row>
    <row r="178" ht="15.75" customHeight="1">
      <c r="D178" s="84"/>
      <c r="H178" s="84"/>
      <c r="N178" s="74"/>
      <c r="T178" s="81"/>
    </row>
    <row r="179" ht="15.75" customHeight="1">
      <c r="D179" s="84"/>
      <c r="H179" s="84"/>
      <c r="N179" s="74"/>
      <c r="T179" s="81"/>
    </row>
    <row r="180" ht="15.75" customHeight="1">
      <c r="D180" s="84"/>
      <c r="H180" s="84"/>
      <c r="N180" s="74"/>
      <c r="T180" s="81"/>
    </row>
    <row r="181" ht="15.75" customHeight="1">
      <c r="D181" s="84"/>
      <c r="H181" s="84"/>
      <c r="N181" s="74"/>
      <c r="T181" s="81"/>
    </row>
    <row r="182" ht="15.75" customHeight="1">
      <c r="D182" s="84"/>
      <c r="H182" s="84"/>
      <c r="N182" s="74"/>
      <c r="T182" s="81"/>
    </row>
    <row r="183" ht="15.75" customHeight="1">
      <c r="D183" s="84"/>
      <c r="H183" s="84"/>
      <c r="N183" s="74"/>
      <c r="T183" s="81"/>
    </row>
    <row r="184" ht="15.75" customHeight="1">
      <c r="D184" s="84"/>
      <c r="H184" s="84"/>
      <c r="N184" s="74"/>
      <c r="T184" s="81"/>
    </row>
    <row r="185" ht="15.75" customHeight="1">
      <c r="D185" s="84"/>
      <c r="H185" s="84"/>
      <c r="N185" s="74"/>
      <c r="T185" s="81"/>
    </row>
    <row r="186" ht="15.75" customHeight="1">
      <c r="D186" s="84"/>
      <c r="H186" s="84"/>
      <c r="N186" s="74"/>
      <c r="T186" s="81"/>
    </row>
    <row r="187" ht="15.75" customHeight="1">
      <c r="D187" s="84"/>
      <c r="H187" s="84"/>
      <c r="N187" s="74"/>
      <c r="T187" s="81"/>
    </row>
    <row r="188" ht="15.75" customHeight="1">
      <c r="D188" s="84"/>
      <c r="H188" s="84"/>
      <c r="N188" s="74"/>
      <c r="T188" s="81"/>
    </row>
    <row r="189" ht="15.75" customHeight="1">
      <c r="D189" s="84"/>
      <c r="H189" s="84"/>
      <c r="N189" s="74"/>
      <c r="T189" s="81"/>
    </row>
    <row r="190" ht="15.75" customHeight="1">
      <c r="D190" s="84"/>
      <c r="H190" s="84"/>
      <c r="N190" s="74"/>
      <c r="T190" s="81"/>
    </row>
    <row r="191" ht="15.75" customHeight="1">
      <c r="D191" s="84"/>
      <c r="H191" s="84"/>
      <c r="N191" s="74"/>
      <c r="T191" s="81"/>
    </row>
    <row r="192" ht="15.75" customHeight="1">
      <c r="D192" s="84"/>
      <c r="H192" s="84"/>
      <c r="N192" s="74"/>
      <c r="T192" s="81"/>
    </row>
    <row r="193" ht="15.75" customHeight="1">
      <c r="D193" s="84"/>
      <c r="H193" s="84"/>
      <c r="N193" s="74"/>
      <c r="T193" s="81"/>
    </row>
    <row r="194" ht="15.75" customHeight="1">
      <c r="D194" s="84"/>
      <c r="H194" s="84"/>
      <c r="N194" s="74"/>
      <c r="T194" s="81"/>
    </row>
    <row r="195" ht="15.75" customHeight="1">
      <c r="D195" s="84"/>
      <c r="H195" s="84"/>
      <c r="N195" s="74"/>
      <c r="T195" s="81"/>
    </row>
    <row r="196" ht="15.75" customHeight="1">
      <c r="D196" s="84"/>
      <c r="H196" s="84"/>
      <c r="N196" s="74"/>
      <c r="T196" s="81"/>
    </row>
    <row r="197" ht="15.75" customHeight="1">
      <c r="D197" s="84"/>
      <c r="H197" s="84"/>
      <c r="N197" s="74"/>
      <c r="T197" s="81"/>
    </row>
    <row r="198" ht="15.75" customHeight="1">
      <c r="D198" s="84"/>
      <c r="H198" s="84"/>
      <c r="N198" s="74"/>
      <c r="T198" s="81"/>
    </row>
    <row r="199" ht="15.75" customHeight="1">
      <c r="D199" s="84"/>
      <c r="H199" s="84"/>
      <c r="N199" s="74"/>
      <c r="T199" s="81"/>
    </row>
    <row r="200" ht="15.75" customHeight="1">
      <c r="D200" s="84"/>
      <c r="H200" s="84"/>
      <c r="N200" s="74"/>
      <c r="T200" s="81"/>
    </row>
    <row r="201" ht="15.75" customHeight="1">
      <c r="D201" s="84"/>
      <c r="H201" s="84"/>
      <c r="N201" s="74"/>
      <c r="T201" s="81"/>
    </row>
    <row r="202" ht="15.75" customHeight="1">
      <c r="D202" s="84"/>
      <c r="H202" s="84"/>
      <c r="N202" s="74"/>
      <c r="T202" s="81"/>
    </row>
    <row r="203" ht="15.75" customHeight="1">
      <c r="D203" s="84"/>
      <c r="H203" s="84"/>
      <c r="N203" s="74"/>
      <c r="T203" s="81"/>
    </row>
    <row r="204" ht="15.75" customHeight="1">
      <c r="D204" s="84"/>
      <c r="H204" s="84"/>
      <c r="N204" s="74"/>
      <c r="T204" s="81"/>
    </row>
    <row r="205" ht="15.75" customHeight="1">
      <c r="D205" s="84"/>
      <c r="H205" s="84"/>
      <c r="N205" s="74"/>
      <c r="T205" s="81"/>
    </row>
    <row r="206" ht="15.75" customHeight="1">
      <c r="D206" s="84"/>
      <c r="H206" s="84"/>
      <c r="N206" s="74"/>
      <c r="T206" s="81"/>
    </row>
    <row r="207" ht="15.75" customHeight="1">
      <c r="D207" s="84"/>
      <c r="H207" s="84"/>
      <c r="N207" s="74"/>
      <c r="T207" s="81"/>
    </row>
    <row r="208" ht="15.75" customHeight="1">
      <c r="D208" s="84"/>
      <c r="H208" s="84"/>
      <c r="N208" s="74"/>
      <c r="T208" s="81"/>
    </row>
    <row r="209" ht="15.75" customHeight="1">
      <c r="D209" s="84"/>
      <c r="H209" s="84"/>
      <c r="N209" s="74"/>
      <c r="T209" s="81"/>
    </row>
    <row r="210" ht="15.75" customHeight="1">
      <c r="D210" s="84"/>
      <c r="H210" s="84"/>
      <c r="N210" s="74"/>
      <c r="T210" s="81"/>
    </row>
    <row r="211" ht="15.75" customHeight="1">
      <c r="D211" s="84"/>
      <c r="H211" s="84"/>
      <c r="N211" s="74"/>
      <c r="T211" s="81"/>
    </row>
    <row r="212" ht="15.75" customHeight="1">
      <c r="D212" s="84"/>
      <c r="H212" s="84"/>
      <c r="N212" s="74"/>
      <c r="T212" s="81"/>
    </row>
    <row r="213" ht="15.75" customHeight="1">
      <c r="D213" s="84"/>
      <c r="H213" s="84"/>
      <c r="N213" s="74"/>
      <c r="T213" s="81"/>
    </row>
    <row r="214" ht="15.75" customHeight="1">
      <c r="D214" s="84"/>
      <c r="H214" s="84"/>
      <c r="N214" s="74"/>
      <c r="T214" s="81"/>
    </row>
    <row r="215" ht="15.75" customHeight="1">
      <c r="D215" s="84"/>
      <c r="H215" s="84"/>
      <c r="N215" s="74"/>
      <c r="T215" s="81"/>
    </row>
    <row r="216" ht="15.75" customHeight="1">
      <c r="D216" s="84"/>
      <c r="H216" s="84"/>
      <c r="N216" s="74"/>
      <c r="T216" s="81"/>
    </row>
    <row r="217" ht="15.75" customHeight="1">
      <c r="D217" s="84"/>
      <c r="H217" s="84"/>
      <c r="N217" s="74"/>
      <c r="T217" s="81"/>
    </row>
    <row r="218" ht="15.75" customHeight="1">
      <c r="D218" s="84"/>
      <c r="H218" s="84"/>
      <c r="N218" s="74"/>
      <c r="T218" s="81"/>
    </row>
    <row r="219" ht="15.75" customHeight="1">
      <c r="D219" s="84"/>
      <c r="H219" s="84"/>
      <c r="N219" s="74"/>
      <c r="T219" s="81"/>
    </row>
    <row r="220" ht="15.75" customHeight="1">
      <c r="D220" s="84"/>
      <c r="H220" s="84"/>
      <c r="N220" s="74"/>
      <c r="T220" s="8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K3:K16">
      <formula1>"Yes,No,Paid Directly to Vendor"</formula1>
    </dataValidation>
    <dataValidation type="list" allowBlank="1" showErrorMessage="1" sqref="L3:L16">
      <formula1>"Mayank Aggarwal,Rajesh Nanda,Akhilesh Mahajan,Amit Vats,Pranay Srivastava,Team Meenakshi/Suchi,Gaurav Mahajan,Navin Garg,Gupt Daan,Walk-In,Bajaj Aunty,Team Rajni/Sakshi,Daan Patra,Amit Katiyar"</formula1>
    </dataValidation>
    <dataValidation type="list" allowBlank="1" showErrorMessage="1" sqref="J3:J16">
      <formula1>"Akhilesh,Nanda Ji,Mayank,Pranay,Amit Vats,Navin Garg,Team Meenaksi/Suchi,Gaurav Mahajan,Vendor - Kushal Garg,Team Rajni/Sakhi,Daan Patra,Amit Katiyar,Shastri Ji"</formula1>
    </dataValidation>
    <dataValidation type="list" allowBlank="1" showErrorMessage="1" sqref="E3:E16">
      <formula1>"Cash,UPI,Cheque"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4.5"/>
    <col customWidth="1" min="3" max="6" width="12.63"/>
  </cols>
  <sheetData>
    <row r="1" ht="15.75" customHeight="1">
      <c r="A1" s="43" t="s">
        <v>4</v>
      </c>
      <c r="B1" s="44" t="s">
        <v>967</v>
      </c>
      <c r="C1" s="44" t="s">
        <v>7</v>
      </c>
      <c r="D1" s="34" t="s">
        <v>968</v>
      </c>
    </row>
    <row r="2" ht="15.75" customHeight="1">
      <c r="A2" s="33"/>
      <c r="B2" s="34"/>
      <c r="C2" s="34"/>
      <c r="D2" s="34"/>
    </row>
    <row r="3" ht="15.75" customHeight="1">
      <c r="A3" s="33">
        <v>1.0</v>
      </c>
      <c r="B3" s="34" t="s">
        <v>972</v>
      </c>
      <c r="C3" s="34">
        <v>2200.0</v>
      </c>
      <c r="D3" s="34" t="s">
        <v>603</v>
      </c>
    </row>
    <row r="4" ht="15.75" customHeight="1">
      <c r="A4" s="33">
        <v>2.0</v>
      </c>
      <c r="B4" s="34" t="s">
        <v>973</v>
      </c>
      <c r="C4" s="34">
        <v>4000.0</v>
      </c>
      <c r="D4" s="34" t="s">
        <v>974</v>
      </c>
    </row>
    <row r="5" ht="15.75" customHeight="1">
      <c r="A5" s="33">
        <v>3.0</v>
      </c>
      <c r="B5" s="34" t="s">
        <v>975</v>
      </c>
      <c r="C5" s="34">
        <v>1350.0</v>
      </c>
      <c r="D5" s="34" t="s">
        <v>603</v>
      </c>
    </row>
    <row r="6" ht="15.75" customHeight="1">
      <c r="A6" s="33">
        <v>4.0</v>
      </c>
      <c r="B6" s="34" t="s">
        <v>976</v>
      </c>
      <c r="C6" s="34">
        <v>1050.0</v>
      </c>
      <c r="D6" s="34" t="s">
        <v>603</v>
      </c>
    </row>
    <row r="7" ht="15.75" customHeight="1">
      <c r="A7" s="33">
        <v>5.0</v>
      </c>
      <c r="B7" s="34" t="s">
        <v>978</v>
      </c>
      <c r="C7" s="34">
        <v>840.0</v>
      </c>
      <c r="D7" s="34" t="s">
        <v>974</v>
      </c>
    </row>
    <row r="8" ht="15.75" customHeight="1">
      <c r="A8" s="33">
        <v>6.0</v>
      </c>
      <c r="B8" s="34" t="s">
        <v>979</v>
      </c>
      <c r="C8" s="34">
        <v>220.0</v>
      </c>
      <c r="D8" s="34" t="s">
        <v>603</v>
      </c>
    </row>
    <row r="9" ht="15.75" customHeight="1">
      <c r="A9" s="33">
        <v>7.0</v>
      </c>
      <c r="B9" s="34" t="s">
        <v>981</v>
      </c>
      <c r="C9" s="34">
        <v>1850.0</v>
      </c>
      <c r="D9" s="34" t="s">
        <v>45</v>
      </c>
    </row>
    <row r="10" ht="15.75" customHeight="1">
      <c r="A10" s="33">
        <v>8.0</v>
      </c>
      <c r="B10" s="34" t="s">
        <v>982</v>
      </c>
      <c r="C10" s="34">
        <v>1000.0</v>
      </c>
      <c r="D10" s="34" t="s">
        <v>174</v>
      </c>
    </row>
    <row r="11" ht="15.75" customHeight="1">
      <c r="A11" s="33">
        <v>9.0</v>
      </c>
      <c r="B11" s="34" t="s">
        <v>982</v>
      </c>
      <c r="C11" s="34">
        <v>1000.0</v>
      </c>
      <c r="D11" s="34" t="s">
        <v>45</v>
      </c>
    </row>
    <row r="12" ht="15.75" customHeight="1">
      <c r="A12" s="33">
        <v>10.0</v>
      </c>
      <c r="B12" s="34" t="s">
        <v>983</v>
      </c>
      <c r="C12" s="34">
        <v>1200.0</v>
      </c>
      <c r="D12" s="34" t="s">
        <v>974</v>
      </c>
    </row>
    <row r="13" ht="15.75" customHeight="1">
      <c r="A13" s="33">
        <v>12.0</v>
      </c>
      <c r="B13" s="34" t="s">
        <v>986</v>
      </c>
      <c r="C13" s="34">
        <v>4000.0</v>
      </c>
      <c r="D13" s="34" t="s">
        <v>974</v>
      </c>
    </row>
    <row r="14" ht="15.75" customHeight="1">
      <c r="A14" s="33">
        <v>13.0</v>
      </c>
      <c r="B14" s="34" t="s">
        <v>987</v>
      </c>
      <c r="C14" s="34">
        <v>260.0</v>
      </c>
      <c r="D14" s="34" t="s">
        <v>45</v>
      </c>
    </row>
    <row r="15" ht="15.75" customHeight="1">
      <c r="A15" s="33">
        <v>14.0</v>
      </c>
      <c r="B15" s="34" t="s">
        <v>989</v>
      </c>
      <c r="C15" s="34">
        <v>250.0</v>
      </c>
      <c r="D15" s="34" t="s">
        <v>45</v>
      </c>
    </row>
    <row r="16" ht="15.75" customHeight="1">
      <c r="A16" s="33">
        <v>15.0</v>
      </c>
      <c r="B16" s="34" t="s">
        <v>990</v>
      </c>
      <c r="C16" s="34">
        <v>300.0</v>
      </c>
      <c r="D16" s="34" t="s">
        <v>974</v>
      </c>
    </row>
    <row r="17" ht="15.75" customHeight="1">
      <c r="A17" s="33">
        <v>16.0</v>
      </c>
      <c r="B17" s="34" t="s">
        <v>991</v>
      </c>
      <c r="C17" s="34">
        <v>396.0</v>
      </c>
      <c r="D17" s="34" t="s">
        <v>73</v>
      </c>
    </row>
    <row r="18" ht="15.75" customHeight="1">
      <c r="A18" s="33">
        <v>17.0</v>
      </c>
      <c r="B18" s="34" t="s">
        <v>994</v>
      </c>
      <c r="C18" s="34">
        <v>329.0</v>
      </c>
      <c r="D18" s="34" t="s">
        <v>73</v>
      </c>
    </row>
    <row r="19" ht="15.75" customHeight="1">
      <c r="A19" s="33">
        <v>18.0</v>
      </c>
      <c r="B19" s="34" t="s">
        <v>995</v>
      </c>
      <c r="C19" s="34">
        <v>1500.0</v>
      </c>
      <c r="D19" s="34" t="s">
        <v>73</v>
      </c>
    </row>
    <row r="20" ht="15.75" customHeight="1">
      <c r="A20" s="84"/>
    </row>
    <row r="21" ht="15.75" customHeight="1">
      <c r="A21" s="84"/>
      <c r="C21" s="56">
        <f>SUM(C3:C19)</f>
        <v>21745</v>
      </c>
    </row>
    <row r="22" ht="15.75" customHeight="1">
      <c r="A22" s="84"/>
    </row>
    <row r="23" ht="15.75" customHeight="1">
      <c r="A23" s="84"/>
    </row>
    <row r="24" ht="15.75" customHeight="1">
      <c r="A24" s="84"/>
    </row>
    <row r="25" ht="15.75" customHeight="1">
      <c r="A25" s="84"/>
    </row>
    <row r="26" ht="15.75" customHeight="1">
      <c r="A26" s="84"/>
    </row>
    <row r="27" ht="15.75" customHeight="1">
      <c r="A27" s="84"/>
    </row>
    <row r="28" ht="15.75" customHeight="1">
      <c r="A28" s="84"/>
    </row>
    <row r="29" ht="15.75" customHeight="1">
      <c r="A29" s="84"/>
    </row>
    <row r="30" ht="15.75" customHeight="1">
      <c r="A30" s="84"/>
    </row>
    <row r="31" ht="15.75" customHeight="1">
      <c r="A31" s="84"/>
    </row>
    <row r="32" ht="15.75" customHeight="1">
      <c r="A32" s="84"/>
    </row>
    <row r="33" ht="15.75" customHeight="1">
      <c r="A33" s="84"/>
    </row>
    <row r="34" ht="15.75" customHeight="1">
      <c r="A34" s="84"/>
    </row>
    <row r="35" ht="15.75" customHeight="1">
      <c r="A35" s="84"/>
    </row>
    <row r="36" ht="15.75" customHeight="1">
      <c r="A36" s="84"/>
    </row>
    <row r="37" ht="15.75" customHeight="1">
      <c r="A37" s="84"/>
    </row>
    <row r="38" ht="15.75" customHeight="1">
      <c r="A38" s="84"/>
    </row>
    <row r="39" ht="15.75" customHeight="1">
      <c r="A39" s="84"/>
    </row>
    <row r="40" ht="15.75" customHeight="1">
      <c r="A40" s="84"/>
    </row>
    <row r="41" ht="15.75" customHeight="1">
      <c r="A41" s="84"/>
    </row>
    <row r="42" ht="15.75" customHeight="1">
      <c r="A42" s="84"/>
    </row>
    <row r="43" ht="15.75" customHeight="1">
      <c r="A43" s="84"/>
    </row>
    <row r="44" ht="15.75" customHeight="1">
      <c r="A44" s="84"/>
    </row>
    <row r="45" ht="15.75" customHeight="1">
      <c r="A45" s="84"/>
    </row>
    <row r="46" ht="15.75" customHeight="1">
      <c r="A46" s="84"/>
    </row>
    <row r="47" ht="15.75" customHeight="1">
      <c r="A47" s="84"/>
    </row>
    <row r="48" ht="15.75" customHeight="1">
      <c r="A48" s="84"/>
    </row>
    <row r="49" ht="15.75" customHeight="1">
      <c r="A49" s="84"/>
    </row>
    <row r="50" ht="15.75" customHeight="1">
      <c r="A50" s="84"/>
    </row>
    <row r="51" ht="15.75" customHeight="1">
      <c r="A51" s="84"/>
    </row>
    <row r="52" ht="15.75" customHeight="1">
      <c r="A52" s="84"/>
    </row>
    <row r="53" ht="15.75" customHeight="1">
      <c r="A53" s="84"/>
    </row>
    <row r="54" ht="15.75" customHeight="1">
      <c r="A54" s="84"/>
    </row>
    <row r="55" ht="15.75" customHeight="1">
      <c r="A55" s="84"/>
    </row>
    <row r="56" ht="15.75" customHeight="1">
      <c r="A56" s="84"/>
    </row>
    <row r="57" ht="15.75" customHeight="1">
      <c r="A57" s="84"/>
    </row>
    <row r="58" ht="15.75" customHeight="1">
      <c r="A58" s="84"/>
    </row>
    <row r="59" ht="15.75" customHeight="1">
      <c r="A59" s="84"/>
    </row>
    <row r="60" ht="15.75" customHeight="1">
      <c r="A60" s="84"/>
    </row>
    <row r="61" ht="15.75" customHeight="1">
      <c r="A61" s="84"/>
    </row>
    <row r="62" ht="15.75" customHeight="1">
      <c r="A62" s="84"/>
    </row>
    <row r="63" ht="15.75" customHeight="1">
      <c r="A63" s="84"/>
    </row>
    <row r="64" ht="15.75" customHeight="1">
      <c r="A64" s="84"/>
    </row>
    <row r="65" ht="15.75" customHeight="1">
      <c r="A65" s="84"/>
    </row>
    <row r="66" ht="15.75" customHeight="1">
      <c r="A66" s="84"/>
    </row>
    <row r="67" ht="15.75" customHeight="1">
      <c r="A67" s="84"/>
    </row>
    <row r="68" ht="15.75" customHeight="1">
      <c r="A68" s="84"/>
    </row>
    <row r="69" ht="15.75" customHeight="1">
      <c r="A69" s="84"/>
    </row>
    <row r="70" ht="15.75" customHeight="1">
      <c r="A70" s="84"/>
    </row>
    <row r="71" ht="15.75" customHeight="1">
      <c r="A71" s="84"/>
    </row>
    <row r="72" ht="15.75" customHeight="1">
      <c r="A72" s="84"/>
    </row>
    <row r="73" ht="15.75" customHeight="1">
      <c r="A73" s="84"/>
    </row>
    <row r="74" ht="15.75" customHeight="1">
      <c r="A74" s="84"/>
    </row>
    <row r="75" ht="15.75" customHeight="1">
      <c r="A75" s="84"/>
    </row>
    <row r="76" ht="15.75" customHeight="1">
      <c r="A76" s="84"/>
    </row>
    <row r="77" ht="15.75" customHeight="1">
      <c r="A77" s="84"/>
    </row>
    <row r="78" ht="15.75" customHeight="1">
      <c r="A78" s="84"/>
    </row>
    <row r="79" ht="15.75" customHeight="1">
      <c r="A79" s="84"/>
    </row>
    <row r="80" ht="15.75" customHeight="1">
      <c r="A80" s="84"/>
    </row>
    <row r="81" ht="15.75" customHeight="1">
      <c r="A81" s="84"/>
    </row>
    <row r="82" ht="15.75" customHeight="1">
      <c r="A82" s="84"/>
    </row>
    <row r="83" ht="15.75" customHeight="1">
      <c r="A83" s="84"/>
    </row>
    <row r="84" ht="15.75" customHeight="1">
      <c r="A84" s="84"/>
    </row>
    <row r="85" ht="15.75" customHeight="1">
      <c r="A85" s="84"/>
    </row>
    <row r="86" ht="15.75" customHeight="1">
      <c r="A86" s="84"/>
    </row>
    <row r="87" ht="15.75" customHeight="1">
      <c r="A87" s="84"/>
    </row>
    <row r="88" ht="15.75" customHeight="1">
      <c r="A88" s="84"/>
    </row>
    <row r="89" ht="15.75" customHeight="1">
      <c r="A89" s="84"/>
    </row>
    <row r="90" ht="15.75" customHeight="1">
      <c r="A90" s="84"/>
    </row>
    <row r="91" ht="15.75" customHeight="1">
      <c r="A91" s="84"/>
    </row>
    <row r="92" ht="15.75" customHeight="1">
      <c r="A92" s="84"/>
    </row>
    <row r="93" ht="15.75" customHeight="1">
      <c r="A93" s="84"/>
    </row>
    <row r="94" ht="15.75" customHeight="1">
      <c r="A94" s="84"/>
    </row>
    <row r="95" ht="15.75" customHeight="1">
      <c r="A95" s="84"/>
    </row>
    <row r="96" ht="15.75" customHeight="1">
      <c r="A96" s="84"/>
    </row>
    <row r="97" ht="15.75" customHeight="1">
      <c r="A97" s="84"/>
    </row>
    <row r="98" ht="15.75" customHeight="1">
      <c r="A98" s="84"/>
    </row>
    <row r="99" ht="15.75" customHeight="1">
      <c r="A99" s="84"/>
    </row>
    <row r="100" ht="15.75" customHeight="1">
      <c r="A100" s="84"/>
    </row>
    <row r="101" ht="15.75" customHeight="1">
      <c r="A101" s="84"/>
    </row>
    <row r="102" ht="15.75" customHeight="1">
      <c r="A102" s="84"/>
    </row>
    <row r="103" ht="15.75" customHeight="1">
      <c r="A103" s="84"/>
    </row>
    <row r="104" ht="15.75" customHeight="1">
      <c r="A104" s="84"/>
    </row>
    <row r="105" ht="15.75" customHeight="1">
      <c r="A105" s="84"/>
    </row>
    <row r="106" ht="15.75" customHeight="1">
      <c r="A106" s="84"/>
    </row>
    <row r="107" ht="15.75" customHeight="1">
      <c r="A107" s="84"/>
    </row>
    <row r="108" ht="15.75" customHeight="1">
      <c r="A108" s="84"/>
    </row>
    <row r="109" ht="15.75" customHeight="1">
      <c r="A109" s="84"/>
    </row>
    <row r="110" ht="15.75" customHeight="1">
      <c r="A110" s="84"/>
    </row>
    <row r="111" ht="15.75" customHeight="1">
      <c r="A111" s="84"/>
    </row>
    <row r="112" ht="15.75" customHeight="1">
      <c r="A112" s="84"/>
    </row>
    <row r="113" ht="15.75" customHeight="1">
      <c r="A113" s="84"/>
    </row>
    <row r="114" ht="15.75" customHeight="1">
      <c r="A114" s="84"/>
    </row>
    <row r="115" ht="15.75" customHeight="1">
      <c r="A115" s="84"/>
    </row>
    <row r="116" ht="15.75" customHeight="1">
      <c r="A116" s="84"/>
    </row>
    <row r="117" ht="15.75" customHeight="1">
      <c r="A117" s="84"/>
    </row>
    <row r="118" ht="15.75" customHeight="1">
      <c r="A118" s="84"/>
    </row>
    <row r="119" ht="15.75" customHeight="1">
      <c r="A119" s="84"/>
    </row>
    <row r="120" ht="15.75" customHeight="1">
      <c r="A120" s="84"/>
    </row>
    <row r="121" ht="15.75" customHeight="1">
      <c r="A121" s="84"/>
    </row>
    <row r="122" ht="15.75" customHeight="1">
      <c r="A122" s="84"/>
    </row>
    <row r="123" ht="15.75" customHeight="1">
      <c r="A123" s="84"/>
    </row>
    <row r="124" ht="15.75" customHeight="1">
      <c r="A124" s="84"/>
    </row>
    <row r="125" ht="15.75" customHeight="1">
      <c r="A125" s="84"/>
    </row>
    <row r="126" ht="15.75" customHeight="1">
      <c r="A126" s="84"/>
    </row>
    <row r="127" ht="15.75" customHeight="1">
      <c r="A127" s="84"/>
    </row>
    <row r="128" ht="15.75" customHeight="1">
      <c r="A128" s="84"/>
    </row>
    <row r="129" ht="15.75" customHeight="1">
      <c r="A129" s="84"/>
    </row>
    <row r="130" ht="15.75" customHeight="1">
      <c r="A130" s="84"/>
    </row>
    <row r="131" ht="15.75" customHeight="1">
      <c r="A131" s="84"/>
    </row>
    <row r="132" ht="15.75" customHeight="1">
      <c r="A132" s="84"/>
    </row>
    <row r="133" ht="15.75" customHeight="1">
      <c r="A133" s="84"/>
    </row>
    <row r="134" ht="15.75" customHeight="1">
      <c r="A134" s="84"/>
    </row>
    <row r="135" ht="15.75" customHeight="1">
      <c r="A135" s="84"/>
    </row>
    <row r="136" ht="15.75" customHeight="1">
      <c r="A136" s="84"/>
    </row>
    <row r="137" ht="15.75" customHeight="1">
      <c r="A137" s="84"/>
    </row>
    <row r="138" ht="15.75" customHeight="1">
      <c r="A138" s="84"/>
    </row>
    <row r="139" ht="15.75" customHeight="1">
      <c r="A139" s="84"/>
    </row>
    <row r="140" ht="15.75" customHeight="1">
      <c r="A140" s="84"/>
    </row>
    <row r="141" ht="15.75" customHeight="1">
      <c r="A141" s="84"/>
    </row>
    <row r="142" ht="15.75" customHeight="1">
      <c r="A142" s="84"/>
    </row>
    <row r="143" ht="15.75" customHeight="1">
      <c r="A143" s="84"/>
    </row>
    <row r="144" ht="15.75" customHeight="1">
      <c r="A144" s="84"/>
    </row>
    <row r="145" ht="15.75" customHeight="1">
      <c r="A145" s="84"/>
    </row>
    <row r="146" ht="15.75" customHeight="1">
      <c r="A146" s="84"/>
    </row>
    <row r="147" ht="15.75" customHeight="1">
      <c r="A147" s="84"/>
    </row>
    <row r="148" ht="15.75" customHeight="1">
      <c r="A148" s="84"/>
    </row>
    <row r="149" ht="15.75" customHeight="1">
      <c r="A149" s="84"/>
    </row>
    <row r="150" ht="15.75" customHeight="1">
      <c r="A150" s="84"/>
    </row>
    <row r="151" ht="15.75" customHeight="1">
      <c r="A151" s="84"/>
    </row>
    <row r="152" ht="15.75" customHeight="1">
      <c r="A152" s="84"/>
    </row>
    <row r="153" ht="15.75" customHeight="1">
      <c r="A153" s="84"/>
    </row>
    <row r="154" ht="15.75" customHeight="1">
      <c r="A154" s="84"/>
    </row>
    <row r="155" ht="15.75" customHeight="1">
      <c r="A155" s="84"/>
    </row>
    <row r="156" ht="15.75" customHeight="1">
      <c r="A156" s="84"/>
    </row>
    <row r="157" ht="15.75" customHeight="1">
      <c r="A157" s="84"/>
    </row>
    <row r="158" ht="15.75" customHeight="1">
      <c r="A158" s="84"/>
    </row>
    <row r="159" ht="15.75" customHeight="1">
      <c r="A159" s="84"/>
    </row>
    <row r="160" ht="15.75" customHeight="1">
      <c r="A160" s="84"/>
    </row>
    <row r="161" ht="15.75" customHeight="1">
      <c r="A161" s="84"/>
    </row>
    <row r="162" ht="15.75" customHeight="1">
      <c r="A162" s="84"/>
    </row>
    <row r="163" ht="15.75" customHeight="1">
      <c r="A163" s="84"/>
    </row>
    <row r="164" ht="15.75" customHeight="1">
      <c r="A164" s="84"/>
    </row>
    <row r="165" ht="15.75" customHeight="1">
      <c r="A165" s="84"/>
    </row>
    <row r="166" ht="15.75" customHeight="1">
      <c r="A166" s="84"/>
    </row>
    <row r="167" ht="15.75" customHeight="1">
      <c r="A167" s="84"/>
    </row>
    <row r="168" ht="15.75" customHeight="1">
      <c r="A168" s="84"/>
    </row>
    <row r="169" ht="15.75" customHeight="1">
      <c r="A169" s="84"/>
    </row>
    <row r="170" ht="15.75" customHeight="1">
      <c r="A170" s="84"/>
    </row>
    <row r="171" ht="15.75" customHeight="1">
      <c r="A171" s="84"/>
    </row>
    <row r="172" ht="15.75" customHeight="1">
      <c r="A172" s="84"/>
    </row>
    <row r="173" ht="15.75" customHeight="1">
      <c r="A173" s="84"/>
    </row>
    <row r="174" ht="15.75" customHeight="1">
      <c r="A174" s="84"/>
    </row>
    <row r="175" ht="15.75" customHeight="1">
      <c r="A175" s="84"/>
    </row>
    <row r="176" ht="15.75" customHeight="1">
      <c r="A176" s="84"/>
    </row>
    <row r="177" ht="15.75" customHeight="1">
      <c r="A177" s="84"/>
    </row>
    <row r="178" ht="15.75" customHeight="1">
      <c r="A178" s="84"/>
    </row>
    <row r="179" ht="15.75" customHeight="1">
      <c r="A179" s="84"/>
    </row>
    <row r="180" ht="15.75" customHeight="1">
      <c r="A180" s="84"/>
    </row>
    <row r="181" ht="15.75" customHeight="1">
      <c r="A181" s="84"/>
    </row>
    <row r="182" ht="15.75" customHeight="1">
      <c r="A182" s="84"/>
    </row>
    <row r="183" ht="15.75" customHeight="1">
      <c r="A183" s="84"/>
    </row>
    <row r="184" ht="15.75" customHeight="1">
      <c r="A184" s="84"/>
    </row>
    <row r="185" ht="15.75" customHeight="1">
      <c r="A185" s="84"/>
    </row>
    <row r="186" ht="15.75" customHeight="1">
      <c r="A186" s="84"/>
    </row>
    <row r="187" ht="15.75" customHeight="1">
      <c r="A187" s="84"/>
    </row>
    <row r="188" ht="15.75" customHeight="1">
      <c r="A188" s="84"/>
    </row>
    <row r="189" ht="15.75" customHeight="1">
      <c r="A189" s="84"/>
    </row>
    <row r="190" ht="15.75" customHeight="1">
      <c r="A190" s="84"/>
    </row>
    <row r="191" ht="15.75" customHeight="1">
      <c r="A191" s="84"/>
    </row>
    <row r="192" ht="15.75" customHeight="1">
      <c r="A192" s="84"/>
    </row>
    <row r="193" ht="15.75" customHeight="1">
      <c r="A193" s="84"/>
    </row>
    <row r="194" ht="15.75" customHeight="1">
      <c r="A194" s="84"/>
    </row>
    <row r="195" ht="15.75" customHeight="1">
      <c r="A195" s="84"/>
    </row>
    <row r="196" ht="15.75" customHeight="1">
      <c r="A196" s="84"/>
    </row>
    <row r="197" ht="15.75" customHeight="1">
      <c r="A197" s="84"/>
    </row>
    <row r="198" ht="15.75" customHeight="1">
      <c r="A198" s="84"/>
    </row>
    <row r="199" ht="15.75" customHeight="1">
      <c r="A199" s="84"/>
    </row>
    <row r="200" ht="15.75" customHeight="1">
      <c r="A200" s="84"/>
    </row>
    <row r="201" ht="15.75" customHeight="1">
      <c r="A201" s="84"/>
    </row>
    <row r="202" ht="15.75" customHeight="1">
      <c r="A202" s="84"/>
    </row>
    <row r="203" ht="15.75" customHeight="1">
      <c r="A203" s="84"/>
    </row>
    <row r="204" ht="15.75" customHeight="1">
      <c r="A204" s="84"/>
    </row>
    <row r="205" ht="15.75" customHeight="1">
      <c r="A205" s="84"/>
    </row>
    <row r="206" ht="15.75" customHeight="1">
      <c r="A206" s="84"/>
    </row>
    <row r="207" ht="15.75" customHeight="1">
      <c r="A207" s="84"/>
    </row>
    <row r="208" ht="15.75" customHeight="1">
      <c r="A208" s="84"/>
    </row>
    <row r="209" ht="15.75" customHeight="1">
      <c r="A209" s="84"/>
    </row>
    <row r="210" ht="15.75" customHeight="1">
      <c r="A210" s="84"/>
    </row>
    <row r="211" ht="15.75" customHeight="1">
      <c r="A211" s="84"/>
    </row>
    <row r="212" ht="15.75" customHeight="1">
      <c r="A212" s="84"/>
    </row>
    <row r="213" ht="15.75" customHeight="1">
      <c r="A213" s="84"/>
    </row>
    <row r="214" ht="15.75" customHeight="1">
      <c r="A214" s="84"/>
    </row>
    <row r="215" ht="15.75" customHeight="1">
      <c r="A215" s="84"/>
    </row>
    <row r="216" ht="15.75" customHeight="1">
      <c r="A216" s="84"/>
    </row>
    <row r="217" ht="15.75" customHeight="1">
      <c r="A217" s="84"/>
    </row>
    <row r="218" ht="15.75" customHeight="1">
      <c r="A218" s="84"/>
    </row>
    <row r="219" ht="15.75" customHeight="1">
      <c r="A219" s="84"/>
    </row>
    <row r="220" ht="15.75" customHeight="1">
      <c r="A220" s="84"/>
    </row>
    <row r="221" ht="15.75" customHeight="1">
      <c r="A221" s="84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1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